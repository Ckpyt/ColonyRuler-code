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workbookPr/>
  <mc:AlternateContent xmlns:mc="http://schemas.openxmlformats.org/markup-compatibility/2006">
    <mc:Choice Requires="x15">
      <x15ac:absPath xmlns:x15ac="http://schemas.microsoft.com/office/spreadsheetml/2010/11/ac" url="E:\CPP\CSPropjects\ColonyRuler\"/>
    </mc:Choice>
  </mc:AlternateContent>
  <xr:revisionPtr revIDLastSave="0" documentId="13_ncr:1_{6C3FBBA8-A69D-457E-B959-7A6257931FEA}" xr6:coauthVersionLast="45" xr6:coauthVersionMax="45" xr10:uidLastSave="{00000000-0000-0000-0000-000000000000}"/>
  <bookViews>
    <workbookView xWindow="-120" yWindow="-120" windowWidth="29040" windowHeight="15840" tabRatio="740" firstSheet="2" activeTab="5" xr2:uid="{00000000-000D-0000-FFFF-FFFF00000000}"/>
  </bookViews>
  <sheets>
    <sheet name="Items" sheetId="1" r:id="rId1"/>
    <sheet name="Science" sheetId="2" r:id="rId2"/>
    <sheet name="Tips" sheetId="16" r:id="rId3"/>
    <sheet name="Building" sheetId="4" r:id="rId4"/>
    <sheet name="Resources" sheetId="10" r:id="rId5"/>
    <sheet name="Materials" sheetId="6" r:id="rId6"/>
    <sheet name="Processes" sheetId="12" r:id="rId7"/>
    <sheet name="WildAnimals" sheetId="13" r:id="rId8"/>
    <sheet name="DomesticAnimals" sheetId="14" r:id="rId9"/>
    <sheet name="Traps" sheetId="15" r:id="rId10"/>
    <sheet name="Effects" sheetId="7" r:id="rId11"/>
    <sheet name="Coordinats" sheetId="11" r:id="rId12"/>
    <sheet name="Army" sheetId="3" r:id="rId13"/>
    <sheet name="Celebrations" sheetId="5" r:id="rId14"/>
    <sheet name="Sheet1" sheetId="9" r:id="rId15"/>
  </sheets>
  <definedNames>
    <definedName name="_xlcn.WorksheetConnection_Таблица41" hidden="1">Таблица4[]</definedName>
    <definedName name="effects">Table9[Effects]</definedName>
    <definedName name="effectTypes">Effects!$F$2:$F$4</definedName>
    <definedName name="storageTypes">Effects!$A$26:$A$31</definedName>
  </definedNames>
  <calcPr calcId="191029"/>
  <extLst>
    <ext xmlns:x15="http://schemas.microsoft.com/office/spreadsheetml/2010/11/main" uri="{FCE2AD5D-F65C-4FA6-A056-5C36A1767C68}">
      <x15:dataModel>
        <x15:modelTables>
          <x15:modelTable id="Таблица4" name="Таблица4" connection="WorksheetConnection_Таблица4"/>
        </x15:modelTables>
      </x15:dataModel>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8" i="13" l="1"/>
  <c r="G7" i="13"/>
  <c r="G6" i="13"/>
  <c r="G5" i="13"/>
  <c r="G4" i="13"/>
  <c r="G3" i="13"/>
  <c r="G2" i="13"/>
  <c r="F2" i="6"/>
  <c r="E16" i="16"/>
  <c r="A16" i="16"/>
  <c r="E15" i="16"/>
  <c r="E14" i="16"/>
  <c r="E13" i="16"/>
  <c r="G12" i="16"/>
  <c r="E12" i="16"/>
  <c r="G22" i="16" l="1"/>
  <c r="A2" i="16"/>
  <c r="K3" i="16"/>
  <c r="K4" i="16" s="1"/>
  <c r="A3" i="16" l="1"/>
  <c r="G2" i="16" s="1"/>
  <c r="K5" i="16"/>
  <c r="A4" i="16"/>
  <c r="G3" i="16" s="1"/>
  <c r="E11" i="16"/>
  <c r="E10" i="16"/>
  <c r="E9" i="16"/>
  <c r="E8" i="16"/>
  <c r="E25" i="16"/>
  <c r="F6" i="1"/>
  <c r="C2" i="16"/>
  <c r="D2" i="16"/>
  <c r="K6" i="16" l="1"/>
  <c r="A5" i="16"/>
  <c r="G4" i="16" s="1"/>
  <c r="I11" i="2"/>
  <c r="C8" i="13"/>
  <c r="K7" i="16" l="1"/>
  <c r="A6" i="16"/>
  <c r="G5" i="16" s="1"/>
  <c r="Q10" i="1"/>
  <c r="Q11" i="1"/>
  <c r="Q12" i="1"/>
  <c r="Q15" i="1"/>
  <c r="Q14" i="1"/>
  <c r="Q13" i="1"/>
  <c r="G22" i="9"/>
  <c r="K8" i="16" l="1"/>
  <c r="A7" i="16"/>
  <c r="G6" i="16" s="1"/>
  <c r="A22" i="9"/>
  <c r="A21" i="9"/>
  <c r="A20" i="9"/>
  <c r="F2" i="4"/>
  <c r="F9" i="1"/>
  <c r="K9" i="16" l="1"/>
  <c r="A8" i="16"/>
  <c r="G7" i="16" s="1"/>
  <c r="J5" i="14"/>
  <c r="J4" i="14"/>
  <c r="E2" i="15"/>
  <c r="L2" i="15"/>
  <c r="F2" i="15"/>
  <c r="K2" i="15"/>
  <c r="H7" i="14"/>
  <c r="G7" i="14"/>
  <c r="N8" i="13"/>
  <c r="N7" i="13"/>
  <c r="N6" i="13"/>
  <c r="N4" i="13"/>
  <c r="N5" i="13"/>
  <c r="N3" i="13"/>
  <c r="K28" i="6"/>
  <c r="K25" i="6"/>
  <c r="J28" i="6"/>
  <c r="H28" i="6"/>
  <c r="K27" i="6"/>
  <c r="J27" i="6"/>
  <c r="H27" i="6"/>
  <c r="K26" i="6"/>
  <c r="J26" i="6"/>
  <c r="H26" i="6"/>
  <c r="H4" i="14"/>
  <c r="H5" i="14"/>
  <c r="H6" i="14"/>
  <c r="H2" i="14"/>
  <c r="H3" i="14"/>
  <c r="G6" i="14"/>
  <c r="G5" i="14"/>
  <c r="G3" i="14"/>
  <c r="G4" i="14"/>
  <c r="G2" i="14"/>
  <c r="K18" i="6"/>
  <c r="F6" i="2"/>
  <c r="F9" i="2"/>
  <c r="J25" i="6"/>
  <c r="F25" i="6"/>
  <c r="K24" i="6"/>
  <c r="J24" i="6"/>
  <c r="F24" i="6"/>
  <c r="H24" i="6"/>
  <c r="G25" i="6" s="1"/>
  <c r="H25" i="6" s="1"/>
  <c r="G2" i="15" s="1"/>
  <c r="H2" i="15" s="1"/>
  <c r="Q23" i="1"/>
  <c r="Q17" i="1"/>
  <c r="Q6" i="1"/>
  <c r="Q2" i="1"/>
  <c r="K23" i="6"/>
  <c r="B17" i="7"/>
  <c r="K2" i="6"/>
  <c r="C3" i="13"/>
  <c r="C4" i="13" s="1"/>
  <c r="C5" i="13" s="1"/>
  <c r="C6" i="13" s="1"/>
  <c r="C7" i="13" s="1"/>
  <c r="C2" i="13"/>
  <c r="F23" i="6"/>
  <c r="J23" i="6"/>
  <c r="H23" i="6"/>
  <c r="H22" i="6"/>
  <c r="J22" i="6"/>
  <c r="K22" i="6"/>
  <c r="J7" i="6"/>
  <c r="K7" i="6"/>
  <c r="C8" i="6"/>
  <c r="D8" i="6"/>
  <c r="J8" i="6"/>
  <c r="K8" i="6"/>
  <c r="O23" i="1"/>
  <c r="K23" i="1"/>
  <c r="J23" i="1"/>
  <c r="F23" i="1"/>
  <c r="B16" i="7"/>
  <c r="K10" i="16" l="1"/>
  <c r="A9" i="16"/>
  <c r="G8" i="16" s="1"/>
  <c r="B5" i="9"/>
  <c r="C5" i="9" s="1"/>
  <c r="A6" i="9"/>
  <c r="A7" i="9" s="1"/>
  <c r="A8" i="9" s="1"/>
  <c r="A9" i="9" s="1"/>
  <c r="A10" i="9" s="1"/>
  <c r="A11" i="9" s="1"/>
  <c r="A12" i="9" s="1"/>
  <c r="B31" i="7"/>
  <c r="B30" i="7"/>
  <c r="K11" i="16" l="1"/>
  <c r="A10" i="16"/>
  <c r="G9" i="16" s="1"/>
  <c r="B7" i="9"/>
  <c r="D5" i="9"/>
  <c r="C7" i="9"/>
  <c r="B11" i="9"/>
  <c r="C10" i="9"/>
  <c r="C11" i="9"/>
  <c r="B8" i="9"/>
  <c r="D11" i="9"/>
  <c r="C6" i="9"/>
  <c r="B10" i="9"/>
  <c r="D8" i="9"/>
  <c r="D10" i="9"/>
  <c r="D6" i="9"/>
  <c r="B9" i="9"/>
  <c r="C9" i="9"/>
  <c r="D9" i="9"/>
  <c r="C8" i="9"/>
  <c r="B6" i="9"/>
  <c r="B12" i="9"/>
  <c r="A13" i="9"/>
  <c r="A14" i="9" s="1"/>
  <c r="C12" i="9"/>
  <c r="D12" i="9"/>
  <c r="K4" i="12"/>
  <c r="I12" i="2"/>
  <c r="C20" i="1"/>
  <c r="H4" i="12"/>
  <c r="F4" i="12"/>
  <c r="D4" i="12"/>
  <c r="K12" i="16" l="1"/>
  <c r="A11" i="16"/>
  <c r="G10" i="16" s="1"/>
  <c r="E5" i="9"/>
  <c r="D7" i="9"/>
  <c r="B13" i="9"/>
  <c r="E13" i="9"/>
  <c r="B14" i="9"/>
  <c r="D13" i="9"/>
  <c r="D14" i="9"/>
  <c r="C13" i="9"/>
  <c r="C14" i="9"/>
  <c r="I3" i="2"/>
  <c r="E18" i="6"/>
  <c r="E17" i="6"/>
  <c r="F2" i="12"/>
  <c r="F3" i="12"/>
  <c r="F7" i="2"/>
  <c r="I6" i="2"/>
  <c r="I7" i="2"/>
  <c r="Q22" i="1"/>
  <c r="F22" i="1"/>
  <c r="F19" i="1"/>
  <c r="F18" i="1"/>
  <c r="K22" i="1"/>
  <c r="P22" i="1"/>
  <c r="L22" i="1"/>
  <c r="O22" i="1" s="1"/>
  <c r="J22" i="1"/>
  <c r="E22" i="1"/>
  <c r="C3" i="12"/>
  <c r="I13" i="2"/>
  <c r="I4" i="2"/>
  <c r="I10" i="2"/>
  <c r="I5" i="2"/>
  <c r="F13" i="2"/>
  <c r="F12" i="2"/>
  <c r="D12" i="2"/>
  <c r="D21" i="6"/>
  <c r="F6" i="6"/>
  <c r="K21" i="6"/>
  <c r="B24" i="7"/>
  <c r="B25" i="7"/>
  <c r="F21" i="6"/>
  <c r="J21" i="6"/>
  <c r="E21" i="6"/>
  <c r="F4" i="6"/>
  <c r="B29" i="7"/>
  <c r="B28" i="7"/>
  <c r="B27" i="7"/>
  <c r="B26" i="7"/>
  <c r="F20" i="6"/>
  <c r="F19" i="6"/>
  <c r="E20" i="6"/>
  <c r="E19" i="6"/>
  <c r="K20" i="6"/>
  <c r="K19" i="6"/>
  <c r="K3" i="6"/>
  <c r="J20" i="6"/>
  <c r="J19" i="6"/>
  <c r="Q21" i="1"/>
  <c r="Q20" i="1"/>
  <c r="Q3" i="1"/>
  <c r="B23" i="7"/>
  <c r="B22" i="7"/>
  <c r="B21" i="7"/>
  <c r="B20" i="7"/>
  <c r="B19" i="7"/>
  <c r="B18" i="7"/>
  <c r="B15" i="7"/>
  <c r="B14" i="7"/>
  <c r="B13" i="7"/>
  <c r="B12" i="7"/>
  <c r="B11" i="7"/>
  <c r="B10" i="7"/>
  <c r="B9" i="7"/>
  <c r="B8" i="7"/>
  <c r="B7" i="7"/>
  <c r="B6" i="7"/>
  <c r="B5" i="7"/>
  <c r="B4" i="7"/>
  <c r="B3" i="7"/>
  <c r="B2" i="7"/>
  <c r="L20" i="1"/>
  <c r="O20" i="1" s="1"/>
  <c r="F20" i="1"/>
  <c r="E12" i="6"/>
  <c r="F21" i="1"/>
  <c r="K21" i="1"/>
  <c r="K20" i="1"/>
  <c r="L21" i="1"/>
  <c r="O21" i="1" s="1"/>
  <c r="J21" i="1"/>
  <c r="J20" i="1"/>
  <c r="K17" i="6"/>
  <c r="H18" i="6"/>
  <c r="E2" i="6"/>
  <c r="H12" i="6"/>
  <c r="G21" i="1" s="1"/>
  <c r="H21" i="1" s="1"/>
  <c r="H2" i="6"/>
  <c r="H3" i="6"/>
  <c r="G20" i="6" s="1"/>
  <c r="H20" i="6" s="1"/>
  <c r="H9" i="6"/>
  <c r="H10" i="6"/>
  <c r="G2" i="4" s="1"/>
  <c r="H11" i="6"/>
  <c r="G23" i="1" s="1"/>
  <c r="H23" i="1" s="1"/>
  <c r="H15" i="6"/>
  <c r="G3" i="12"/>
  <c r="H3" i="12" s="1"/>
  <c r="H17" i="6"/>
  <c r="F17" i="6"/>
  <c r="F18" i="6"/>
  <c r="F5" i="6"/>
  <c r="F13" i="6"/>
  <c r="K13" i="6"/>
  <c r="J13" i="6"/>
  <c r="K3" i="12"/>
  <c r="K2" i="12"/>
  <c r="J3" i="12"/>
  <c r="J2" i="12"/>
  <c r="K13" i="16" l="1"/>
  <c r="A12" i="16"/>
  <c r="F5" i="9"/>
  <c r="E7" i="9"/>
  <c r="E12" i="9"/>
  <c r="E9" i="9"/>
  <c r="E6" i="9"/>
  <c r="E10" i="9"/>
  <c r="E11" i="9"/>
  <c r="E8" i="9"/>
  <c r="E14" i="9"/>
  <c r="H7" i="6"/>
  <c r="H8" i="6"/>
  <c r="G20" i="1"/>
  <c r="H20" i="1" s="1"/>
  <c r="G19" i="6"/>
  <c r="H19" i="6" s="1"/>
  <c r="G21" i="6" s="1"/>
  <c r="H21" i="6" s="1"/>
  <c r="G2" i="12"/>
  <c r="H2" i="12" s="1"/>
  <c r="E2" i="1"/>
  <c r="D8" i="1"/>
  <c r="C4" i="2"/>
  <c r="J4" i="10"/>
  <c r="C10" i="6"/>
  <c r="I16" i="2"/>
  <c r="F16" i="2"/>
  <c r="I15" i="2"/>
  <c r="I2" i="2"/>
  <c r="F15" i="2"/>
  <c r="F3" i="2"/>
  <c r="L18" i="1"/>
  <c r="O18" i="1" s="1"/>
  <c r="Q19" i="1"/>
  <c r="G19" i="1"/>
  <c r="H19" i="1" s="1"/>
  <c r="L19" i="1"/>
  <c r="O19" i="1" s="1"/>
  <c r="K19" i="1"/>
  <c r="J19" i="1"/>
  <c r="K18" i="1"/>
  <c r="Q18" i="1"/>
  <c r="J18" i="1"/>
  <c r="G18" i="1"/>
  <c r="E18" i="1"/>
  <c r="K14" i="16" l="1"/>
  <c r="A13" i="16"/>
  <c r="H18" i="1"/>
  <c r="G5" i="9"/>
  <c r="F7" i="9"/>
  <c r="F9" i="9"/>
  <c r="F12" i="9"/>
  <c r="F11" i="9"/>
  <c r="F6" i="9"/>
  <c r="F10" i="9"/>
  <c r="F8" i="9"/>
  <c r="F14" i="9"/>
  <c r="F13" i="9"/>
  <c r="C15" i="1"/>
  <c r="C5" i="1"/>
  <c r="C3" i="1"/>
  <c r="D13" i="1"/>
  <c r="B3" i="11"/>
  <c r="D6" i="2"/>
  <c r="C2" i="4"/>
  <c r="D14" i="6"/>
  <c r="I1" i="11"/>
  <c r="B5" i="11" s="1"/>
  <c r="H1" i="11"/>
  <c r="A3" i="11" s="1"/>
  <c r="F9" i="6"/>
  <c r="F3" i="6"/>
  <c r="F10" i="6"/>
  <c r="F12" i="6"/>
  <c r="F15" i="6"/>
  <c r="K6" i="6"/>
  <c r="J6" i="6"/>
  <c r="K5" i="6"/>
  <c r="K16" i="6"/>
  <c r="J5" i="6"/>
  <c r="J16" i="6"/>
  <c r="G16" i="6"/>
  <c r="H16" i="6" s="1"/>
  <c r="F16" i="6"/>
  <c r="J15" i="6"/>
  <c r="J14" i="6"/>
  <c r="F3" i="9"/>
  <c r="E3" i="9"/>
  <c r="E4" i="9" s="1"/>
  <c r="D3" i="9"/>
  <c r="C3" i="9"/>
  <c r="B3" i="9"/>
  <c r="C4" i="9" s="1"/>
  <c r="A3" i="9"/>
  <c r="Q4" i="4"/>
  <c r="Q3" i="4"/>
  <c r="K15" i="16" l="1"/>
  <c r="A14" i="16"/>
  <c r="G13" i="16" s="1"/>
  <c r="D4" i="9"/>
  <c r="C17" i="6"/>
  <c r="C18" i="6"/>
  <c r="C21" i="6"/>
  <c r="C19" i="6"/>
  <c r="C21" i="1"/>
  <c r="C13" i="2"/>
  <c r="J3" i="10"/>
  <c r="C15" i="6"/>
  <c r="D19" i="6"/>
  <c r="K5" i="10"/>
  <c r="K6" i="10"/>
  <c r="D2" i="6"/>
  <c r="A5" i="11"/>
  <c r="C4" i="1" s="1"/>
  <c r="D7" i="2"/>
  <c r="D18" i="6"/>
  <c r="D2" i="12"/>
  <c r="H5" i="9"/>
  <c r="G9" i="9"/>
  <c r="G8" i="9"/>
  <c r="G11" i="9"/>
  <c r="G12" i="9"/>
  <c r="G7" i="9"/>
  <c r="G10" i="9"/>
  <c r="G6" i="9"/>
  <c r="G13" i="9"/>
  <c r="G14" i="9"/>
  <c r="B4" i="9"/>
  <c r="B2" i="11"/>
  <c r="D14" i="1"/>
  <c r="D10" i="1"/>
  <c r="B6" i="11"/>
  <c r="D4" i="10"/>
  <c r="D3" i="6"/>
  <c r="D12" i="1"/>
  <c r="D5" i="1"/>
  <c r="D15" i="1"/>
  <c r="D11" i="1"/>
  <c r="C5" i="10"/>
  <c r="A2" i="11"/>
  <c r="F4" i="9"/>
  <c r="I14" i="2"/>
  <c r="F14" i="2"/>
  <c r="Q2" i="4"/>
  <c r="E8" i="1"/>
  <c r="F8" i="1"/>
  <c r="J8" i="1"/>
  <c r="K8" i="1"/>
  <c r="L8" i="1"/>
  <c r="O8" i="1" s="1"/>
  <c r="P8" i="1"/>
  <c r="Q8" i="1"/>
  <c r="E9" i="1"/>
  <c r="J9" i="1"/>
  <c r="K9" i="1"/>
  <c r="L9" i="1"/>
  <c r="O9" i="1" s="1"/>
  <c r="P9" i="1"/>
  <c r="Q9" i="1"/>
  <c r="L2" i="4"/>
  <c r="O2" i="4" s="1"/>
  <c r="K2" i="4"/>
  <c r="J2" i="4"/>
  <c r="J2" i="6"/>
  <c r="K16" i="16" l="1"/>
  <c r="A15" i="16"/>
  <c r="G14" i="16" s="1"/>
  <c r="D17" i="6"/>
  <c r="D3" i="12"/>
  <c r="D20" i="6"/>
  <c r="A6" i="11"/>
  <c r="C4" i="12"/>
  <c r="C2" i="12"/>
  <c r="J6" i="10"/>
  <c r="J5" i="10"/>
  <c r="C20" i="6"/>
  <c r="C22" i="1"/>
  <c r="C12" i="2"/>
  <c r="C19" i="1"/>
  <c r="C18" i="1"/>
  <c r="D19" i="1"/>
  <c r="D4" i="2"/>
  <c r="D5" i="10"/>
  <c r="C2" i="2"/>
  <c r="D7" i="6"/>
  <c r="C5" i="2"/>
  <c r="C4" i="6"/>
  <c r="C10" i="1"/>
  <c r="C9" i="6"/>
  <c r="C2" i="6"/>
  <c r="C9" i="2"/>
  <c r="H7" i="9"/>
  <c r="H6" i="9"/>
  <c r="H11" i="9"/>
  <c r="H12" i="9"/>
  <c r="H9" i="9"/>
  <c r="H10" i="9"/>
  <c r="I5" i="9"/>
  <c r="H8" i="9"/>
  <c r="H13" i="9"/>
  <c r="H14" i="9"/>
  <c r="B7" i="11"/>
  <c r="D4" i="6"/>
  <c r="D3" i="4"/>
  <c r="D10" i="6"/>
  <c r="D11" i="6"/>
  <c r="C14" i="6"/>
  <c r="C15" i="2"/>
  <c r="C5" i="6"/>
  <c r="C3" i="6"/>
  <c r="C11" i="1"/>
  <c r="C6" i="2"/>
  <c r="A7" i="11"/>
  <c r="C7" i="2" s="1"/>
  <c r="K4" i="6"/>
  <c r="K17" i="16" l="1"/>
  <c r="J5" i="9"/>
  <c r="I11" i="9"/>
  <c r="I7" i="9"/>
  <c r="I9" i="9"/>
  <c r="I12" i="9"/>
  <c r="I14" i="9"/>
  <c r="I10" i="9"/>
  <c r="I6" i="9"/>
  <c r="I13" i="9"/>
  <c r="I8" i="9"/>
  <c r="C13" i="6"/>
  <c r="C6" i="1"/>
  <c r="C3" i="2"/>
  <c r="D18" i="1"/>
  <c r="D15" i="6"/>
  <c r="D3" i="2"/>
  <c r="D6" i="6"/>
  <c r="C4" i="10"/>
  <c r="C6" i="6"/>
  <c r="C11" i="6"/>
  <c r="C13" i="1"/>
  <c r="C2" i="1"/>
  <c r="A8" i="11"/>
  <c r="C12" i="1"/>
  <c r="B8" i="11"/>
  <c r="D9" i="6"/>
  <c r="D15" i="2"/>
  <c r="D14" i="2"/>
  <c r="D2" i="2"/>
  <c r="D4" i="4"/>
  <c r="D5" i="6"/>
  <c r="D10" i="2"/>
  <c r="D2" i="4"/>
  <c r="D6" i="4"/>
  <c r="J9" i="6"/>
  <c r="J12" i="6"/>
  <c r="J11" i="6"/>
  <c r="J10" i="6"/>
  <c r="J4" i="6"/>
  <c r="J3" i="6"/>
  <c r="J6" i="4"/>
  <c r="J5" i="4"/>
  <c r="J3" i="4"/>
  <c r="J3" i="3"/>
  <c r="J2" i="3"/>
  <c r="J17" i="1"/>
  <c r="J16" i="1"/>
  <c r="J15" i="1"/>
  <c r="J14" i="1"/>
  <c r="J13" i="1"/>
  <c r="J12" i="1"/>
  <c r="J11" i="1"/>
  <c r="J10" i="1"/>
  <c r="J7" i="1"/>
  <c r="J6" i="1"/>
  <c r="J4" i="1"/>
  <c r="J3" i="1"/>
  <c r="J2" i="1"/>
  <c r="F6" i="4"/>
  <c r="K18" i="16" l="1"/>
  <c r="A17" i="16"/>
  <c r="C7" i="6"/>
  <c r="C10" i="2"/>
  <c r="C3" i="10"/>
  <c r="D22" i="1"/>
  <c r="D13" i="6"/>
  <c r="D12" i="6"/>
  <c r="K3" i="10"/>
  <c r="D3" i="10"/>
  <c r="J7" i="9"/>
  <c r="J14" i="9"/>
  <c r="J13" i="9"/>
  <c r="J9" i="9"/>
  <c r="J11" i="9"/>
  <c r="J10" i="9"/>
  <c r="J6" i="9"/>
  <c r="J8" i="9"/>
  <c r="J12" i="9"/>
  <c r="B9" i="11"/>
  <c r="D2" i="1"/>
  <c r="D4" i="1"/>
  <c r="D5" i="2"/>
  <c r="K4" i="10"/>
  <c r="C14" i="1"/>
  <c r="C14" i="2"/>
  <c r="C3" i="4"/>
  <c r="A9" i="11"/>
  <c r="C4" i="4"/>
  <c r="Q4" i="1"/>
  <c r="F5" i="2"/>
  <c r="F11" i="2"/>
  <c r="F10" i="2"/>
  <c r="F8" i="2"/>
  <c r="F4" i="2"/>
  <c r="F2" i="2"/>
  <c r="P4" i="1"/>
  <c r="L4" i="1"/>
  <c r="O4" i="1" s="1"/>
  <c r="K4" i="1"/>
  <c r="F4" i="1"/>
  <c r="K5" i="1"/>
  <c r="K14" i="6"/>
  <c r="K12" i="6"/>
  <c r="K11" i="6"/>
  <c r="K10" i="6"/>
  <c r="K9" i="6"/>
  <c r="Q5" i="4"/>
  <c r="Q6" i="4"/>
  <c r="Q16" i="1"/>
  <c r="Q7" i="1"/>
  <c r="Q5" i="1"/>
  <c r="K6" i="4"/>
  <c r="K5" i="4"/>
  <c r="K4" i="4"/>
  <c r="K3" i="4"/>
  <c r="K16" i="1"/>
  <c r="K14" i="1"/>
  <c r="K15" i="1"/>
  <c r="K12" i="1"/>
  <c r="K11" i="1"/>
  <c r="K10" i="1"/>
  <c r="K17" i="1"/>
  <c r="K7" i="1"/>
  <c r="K13" i="1"/>
  <c r="K6" i="1"/>
  <c r="K3" i="1"/>
  <c r="K2" i="1"/>
  <c r="I8" i="2"/>
  <c r="H2" i="4"/>
  <c r="G5" i="2"/>
  <c r="H5" i="2" s="1"/>
  <c r="K19" i="16" l="1"/>
  <c r="A18" i="16"/>
  <c r="G17" i="16" s="1"/>
  <c r="C12" i="6"/>
  <c r="C6" i="4"/>
  <c r="D13" i="2"/>
  <c r="D6" i="1"/>
  <c r="D21" i="1"/>
  <c r="C8" i="1"/>
  <c r="A10" i="11"/>
  <c r="A11" i="11" s="1"/>
  <c r="B10" i="11"/>
  <c r="D9" i="2"/>
  <c r="D3" i="1"/>
  <c r="G4" i="1"/>
  <c r="H4" i="1" s="1"/>
  <c r="G13" i="2" s="1"/>
  <c r="H13" i="2" s="1"/>
  <c r="F14" i="6"/>
  <c r="F5" i="4"/>
  <c r="F4" i="4"/>
  <c r="F3" i="4"/>
  <c r="F2" i="3"/>
  <c r="F3" i="3"/>
  <c r="F3" i="1"/>
  <c r="F2" i="1"/>
  <c r="F17" i="1"/>
  <c r="F16" i="1"/>
  <c r="I9" i="2"/>
  <c r="E3" i="6"/>
  <c r="G4" i="6" s="1"/>
  <c r="K20" i="16" l="1"/>
  <c r="A19" i="16"/>
  <c r="G18" i="16" s="1"/>
  <c r="B11" i="11"/>
  <c r="D20" i="1"/>
  <c r="H4" i="6"/>
  <c r="G9" i="2"/>
  <c r="H9" i="2" s="1"/>
  <c r="G15" i="2"/>
  <c r="H15" i="2" s="1"/>
  <c r="P5" i="1"/>
  <c r="K21" i="16" l="1"/>
  <c r="A20" i="16"/>
  <c r="G19" i="16" s="1"/>
  <c r="G2" i="2"/>
  <c r="H2" i="2" s="1"/>
  <c r="G6" i="2"/>
  <c r="H6" i="2" s="1"/>
  <c r="G4" i="2"/>
  <c r="H4" i="2" s="1"/>
  <c r="F15" i="1"/>
  <c r="F14" i="1"/>
  <c r="F13" i="1"/>
  <c r="F12" i="1"/>
  <c r="F10" i="1"/>
  <c r="F7" i="1"/>
  <c r="F5" i="1"/>
  <c r="K22" i="16" l="1"/>
  <c r="A22" i="16" s="1"/>
  <c r="G21" i="16" s="1"/>
  <c r="A21" i="16"/>
  <c r="G20" i="16" s="1"/>
  <c r="G13" i="6"/>
  <c r="H13" i="6" s="1"/>
  <c r="E3" i="3"/>
  <c r="E2" i="3"/>
  <c r="E17" i="1"/>
  <c r="E15" i="1"/>
  <c r="E16" i="1"/>
  <c r="E14" i="1"/>
  <c r="E13" i="1"/>
  <c r="E12" i="1"/>
  <c r="E11" i="1"/>
  <c r="E10" i="1"/>
  <c r="E7" i="1"/>
  <c r="E6" i="1"/>
  <c r="E5" i="1"/>
  <c r="E3" i="1"/>
  <c r="P17" i="1"/>
  <c r="P16" i="1"/>
  <c r="P15" i="1"/>
  <c r="P14" i="1"/>
  <c r="P13" i="1"/>
  <c r="P12" i="1"/>
  <c r="P11" i="1"/>
  <c r="P10" i="1"/>
  <c r="P7" i="1"/>
  <c r="P6" i="1"/>
  <c r="P3" i="1"/>
  <c r="P2" i="1"/>
  <c r="G8" i="1"/>
  <c r="H8" i="1" s="1"/>
  <c r="L2" i="1"/>
  <c r="O2" i="1" s="1"/>
  <c r="L6" i="4"/>
  <c r="O6" i="4" s="1"/>
  <c r="A5" i="5"/>
  <c r="G6" i="6" l="1"/>
  <c r="H6" i="6" s="1"/>
  <c r="G22" i="1"/>
  <c r="H22" i="1" s="1"/>
  <c r="G5" i="6"/>
  <c r="H5" i="6" s="1"/>
  <c r="G6" i="4"/>
  <c r="H6" i="4" s="1"/>
  <c r="G4" i="4"/>
  <c r="H4" i="4" s="1"/>
  <c r="G5" i="4"/>
  <c r="H5" i="4" s="1"/>
  <c r="G3" i="4"/>
  <c r="H3" i="4" s="1"/>
  <c r="E4" i="5"/>
  <c r="A4" i="5"/>
  <c r="E3" i="5"/>
  <c r="A3" i="5"/>
  <c r="G14" i="6" l="1"/>
  <c r="E2" i="5"/>
  <c r="A2" i="5"/>
  <c r="L5" i="4"/>
  <c r="O5" i="4" s="1"/>
  <c r="L3" i="1"/>
  <c r="O3" i="1" s="1"/>
  <c r="L4" i="4"/>
  <c r="O4" i="4" s="1"/>
  <c r="L3" i="4"/>
  <c r="O3" i="4" s="1"/>
  <c r="H14" i="6" l="1"/>
  <c r="L17" i="1"/>
  <c r="O17" i="1" s="1"/>
  <c r="L16" i="1"/>
  <c r="O16" i="1" s="1"/>
  <c r="L15" i="1"/>
  <c r="O15" i="1" s="1"/>
  <c r="L14" i="1"/>
  <c r="O14" i="1" s="1"/>
  <c r="L13" i="1"/>
  <c r="O13" i="1" s="1"/>
  <c r="G13" i="1"/>
  <c r="H13" i="1" s="1"/>
  <c r="L11" i="1"/>
  <c r="O11" i="1" s="1"/>
  <c r="L12" i="1"/>
  <c r="O12" i="1" s="1"/>
  <c r="F11" i="1"/>
  <c r="L10" i="1"/>
  <c r="O10" i="1" s="1"/>
  <c r="L7" i="1"/>
  <c r="O7" i="1" s="1"/>
  <c r="L6" i="1"/>
  <c r="O6" i="1" s="1"/>
  <c r="L5" i="1"/>
  <c r="O5" i="1" s="1"/>
  <c r="G7" i="1"/>
  <c r="H7" i="1" s="1"/>
  <c r="G3" i="2" l="1"/>
  <c r="H3" i="2" s="1"/>
  <c r="G7" i="2"/>
  <c r="H7" i="2" s="1"/>
  <c r="G8" i="2"/>
  <c r="H8" i="2" s="1"/>
  <c r="G2" i="1"/>
  <c r="H2" i="1" s="1"/>
  <c r="G14" i="2" s="1"/>
  <c r="H14" i="2" s="1"/>
  <c r="G3" i="1"/>
  <c r="H3" i="1" s="1"/>
  <c r="G6" i="1"/>
  <c r="H6" i="1" s="1"/>
  <c r="G17" i="1"/>
  <c r="H17" i="1" s="1"/>
  <c r="G11" i="1"/>
  <c r="H11" i="1" s="1"/>
  <c r="G15" i="1"/>
  <c r="H15" i="1" s="1"/>
  <c r="G10" i="1"/>
  <c r="H10" i="1" s="1"/>
  <c r="G12" i="1"/>
  <c r="H12" i="1" s="1"/>
  <c r="G5" i="1"/>
  <c r="H5" i="1" s="1"/>
  <c r="G12" i="2" s="1"/>
  <c r="H12" i="2" s="1"/>
  <c r="G9" i="1" l="1"/>
  <c r="H9" i="1" s="1"/>
  <c r="G16" i="2"/>
  <c r="H16" i="2" s="1"/>
  <c r="G10" i="2"/>
  <c r="H10" i="2" s="1"/>
  <c r="G11" i="2"/>
  <c r="H11" i="2" s="1"/>
  <c r="G3" i="3"/>
  <c r="H3" i="3" s="1"/>
  <c r="G14" i="1"/>
  <c r="H14" i="1" s="1"/>
  <c r="G16" i="1"/>
  <c r="H16" i="1" s="1"/>
  <c r="G2" i="3" l="1"/>
  <c r="H2"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buildings_Map" type="4" refreshedVersion="0" background="1">
    <webPr xml="1" sourceData="1" url="C:\Cpp\ColonyRuler\buildings_Map.xml" htmlTables="1" htmlFormat="all"/>
  </connection>
  <connection id="2" xr16:uid="{DBA4C1BC-3395-4CCC-80C9-2111083717DA}" keepAlive="1" name="ThisWorkbookDataModel" description="Модель данных"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649B1A77-0F19-4214-A014-A0096DACAAE1}" name="WorksheetConnection_Таблица4" type="102" refreshedVersion="6" minRefreshableVersion="5">
    <extLst>
      <ext xmlns:x15="http://schemas.microsoft.com/office/spreadsheetml/2010/11/main" uri="{DE250136-89BD-433C-8126-D09CA5730AF9}">
        <x15:connection id="Таблица4">
          <x15:rangePr sourceName="_xlcn.WorksheetConnection_Таблица41"/>
        </x15:connection>
      </ext>
    </extLst>
  </connection>
</connections>
</file>

<file path=xl/sharedStrings.xml><?xml version="1.0" encoding="utf-8"?>
<sst xmlns="http://schemas.openxmlformats.org/spreadsheetml/2006/main" count="496" uniqueCount="277">
  <si>
    <t>name</t>
  </si>
  <si>
    <t>dependency</t>
  </si>
  <si>
    <t>dependecy cost</t>
  </si>
  <si>
    <t>final cost</t>
  </si>
  <si>
    <t>hunting</t>
  </si>
  <si>
    <t>stone</t>
  </si>
  <si>
    <t>stick</t>
  </si>
  <si>
    <t>stone axe</t>
  </si>
  <si>
    <t>bug</t>
  </si>
  <si>
    <t>critical</t>
  </si>
  <si>
    <t>1 out 1000</t>
  </si>
  <si>
    <t>rods</t>
  </si>
  <si>
    <t>log</t>
  </si>
  <si>
    <t>1 out 5000</t>
  </si>
  <si>
    <t>stone spear</t>
  </si>
  <si>
    <t>1 out 500</t>
  </si>
  <si>
    <t>bug fixing per second</t>
  </si>
  <si>
    <t>leather</t>
  </si>
  <si>
    <t>leather shirt</t>
  </si>
  <si>
    <t>effectivity</t>
  </si>
  <si>
    <t>1 out 2000</t>
  </si>
  <si>
    <t>bone needle</t>
  </si>
  <si>
    <t>basket drum</t>
  </si>
  <si>
    <t>leather shoe</t>
  </si>
  <si>
    <t>leather pants</t>
  </si>
  <si>
    <t>container</t>
  </si>
  <si>
    <t>bone</t>
  </si>
  <si>
    <t>fur</t>
  </si>
  <si>
    <t>stone statue</t>
  </si>
  <si>
    <t>leather braslete</t>
  </si>
  <si>
    <t>opens</t>
  </si>
  <si>
    <t>rod shield</t>
  </si>
  <si>
    <t>rod using</t>
  </si>
  <si>
    <t>leather working</t>
  </si>
  <si>
    <t>bone carving</t>
  </si>
  <si>
    <t>log barraks</t>
  </si>
  <si>
    <t>happy 23 + 10 from dance * 10 = 230( 320 after dance) Max 20 per person = 200. More then that - current happy - max = chance to obtain a new sitizen from nearest territories</t>
  </si>
  <si>
    <t>after a first dance become 10 more citizen and one free territory on a map</t>
  </si>
  <si>
    <t>if happy less than max - :| less then half of max - ;( and chance to lose a cizitizen</t>
  </si>
  <si>
    <t>buildings</t>
  </si>
  <si>
    <t>territory</t>
  </si>
  <si>
    <t>bow</t>
  </si>
  <si>
    <t>bone armor</t>
  </si>
  <si>
    <t>attack</t>
  </si>
  <si>
    <t>protection</t>
  </si>
  <si>
    <t>hits</t>
  </si>
  <si>
    <t>distance</t>
  </si>
  <si>
    <t>speed per second</t>
  </si>
  <si>
    <t>happy</t>
  </si>
  <si>
    <t>log cabin</t>
  </si>
  <si>
    <t>stone hummer</t>
  </si>
  <si>
    <t>Long house</t>
  </si>
  <si>
    <t>instrument</t>
  </si>
  <si>
    <t>persons</t>
  </si>
  <si>
    <t>happiness</t>
  </si>
  <si>
    <t>total</t>
  </si>
  <si>
    <t>musicants</t>
  </si>
  <si>
    <t>Container type</t>
  </si>
  <si>
    <t>living</t>
  </si>
  <si>
    <t>effect_type</t>
  </si>
  <si>
    <t>musicant</t>
  </si>
  <si>
    <t>sewing</t>
  </si>
  <si>
    <t>log_cutting</t>
  </si>
  <si>
    <t>people</t>
  </si>
  <si>
    <t>production_type</t>
  </si>
  <si>
    <t>training</t>
  </si>
  <si>
    <t>warehouse</t>
  </si>
  <si>
    <t>masonry</t>
  </si>
  <si>
    <t>bone_carving</t>
  </si>
  <si>
    <t>harvesting</t>
  </si>
  <si>
    <t>butchering</t>
  </si>
  <si>
    <t>produce per person</t>
  </si>
  <si>
    <t xml:space="preserve"> name</t>
  </si>
  <si>
    <t>dependency cost</t>
  </si>
  <si>
    <t>increasing</t>
  </si>
  <si>
    <t>container type</t>
  </si>
  <si>
    <t>conatiner_type</t>
  </si>
  <si>
    <t>heavy_storage</t>
  </si>
  <si>
    <t>wicker basket</t>
  </si>
  <si>
    <t>stone cutting</t>
  </si>
  <si>
    <t>bone necklace</t>
  </si>
  <si>
    <t>hunt</t>
  </si>
  <si>
    <t>-celebrations</t>
  </si>
  <si>
    <t>Effects</t>
  </si>
  <si>
    <t>celebration</t>
  </si>
  <si>
    <t>carpentry</t>
  </si>
  <si>
    <t>building</t>
  </si>
  <si>
    <t>light_storage</t>
  </si>
  <si>
    <t>stone knife</t>
  </si>
  <si>
    <t>first component count</t>
  </si>
  <si>
    <t>second component count</t>
  </si>
  <si>
    <t>advenced stone cutting</t>
  </si>
  <si>
    <t>food</t>
  </si>
  <si>
    <t>hut of branches</t>
  </si>
  <si>
    <t>food should be first!</t>
  </si>
  <si>
    <t>maxHappy</t>
  </si>
  <si>
    <t>Default X</t>
  </si>
  <si>
    <t>Default Y</t>
  </si>
  <si>
    <t>Description</t>
  </si>
  <si>
    <t>Closes</t>
  </si>
  <si>
    <t>family cabin</t>
  </si>
  <si>
    <t>clay</t>
  </si>
  <si>
    <t>digging</t>
  </si>
  <si>
    <t>brick</t>
  </si>
  <si>
    <t>smoked food</t>
  </si>
  <si>
    <t>cooking</t>
  </si>
  <si>
    <t>soup</t>
  </si>
  <si>
    <t>growing_percent</t>
  </si>
  <si>
    <t>maximum_in_territory</t>
  </si>
  <si>
    <t>forest</t>
  </si>
  <si>
    <t>swamp thing</t>
  </si>
  <si>
    <t>clay deposit</t>
  </si>
  <si>
    <t>stone deposit</t>
  </si>
  <si>
    <t>wild fruit</t>
  </si>
  <si>
    <t>x</t>
  </si>
  <si>
    <t>y</t>
  </si>
  <si>
    <t>rough plate</t>
  </si>
  <si>
    <t>pottery</t>
  </si>
  <si>
    <t>rough pot</t>
  </si>
  <si>
    <t>hand pottery</t>
  </si>
  <si>
    <t>2</t>
  </si>
  <si>
    <t>coocked food</t>
  </si>
  <si>
    <t>-brickwall</t>
  </si>
  <si>
    <t>brickwall</t>
  </si>
  <si>
    <t>chance to lose a cizien = ((max happy / 2) - current happy) per second. If negative - chance to attract someone</t>
  </si>
  <si>
    <t>duration</t>
  </si>
  <si>
    <t>farm field</t>
  </si>
  <si>
    <t>plowing</t>
  </si>
  <si>
    <t>carrot</t>
  </si>
  <si>
    <t>sow</t>
  </si>
  <si>
    <t>grain</t>
  </si>
  <si>
    <t>wild vegetables</t>
  </si>
  <si>
    <t>firewood</t>
  </si>
  <si>
    <t>harvest carrots</t>
  </si>
  <si>
    <t>harvest wheat</t>
  </si>
  <si>
    <t>empty field</t>
  </si>
  <si>
    <t>wheat field</t>
  </si>
  <si>
    <t>carrot field</t>
  </si>
  <si>
    <t>prmitive harrow</t>
  </si>
  <si>
    <t>stone hoe</t>
  </si>
  <si>
    <t>storage types</t>
  </si>
  <si>
    <t>Effects type</t>
  </si>
  <si>
    <t>effect types</t>
  </si>
  <si>
    <t>grow</t>
  </si>
  <si>
    <t>speed</t>
  </si>
  <si>
    <t>result</t>
  </si>
  <si>
    <t>storage</t>
  </si>
  <si>
    <t>flour</t>
  </si>
  <si>
    <t>milling</t>
  </si>
  <si>
    <t>farming</t>
  </si>
  <si>
    <t>primitive farming tools</t>
  </si>
  <si>
    <t>ceramic figure</t>
  </si>
  <si>
    <t>leather cloth</t>
  </si>
  <si>
    <t xml:space="preserve"> for harvesting from farms, first word should be "harvest"</t>
  </si>
  <si>
    <t>big_animal</t>
  </si>
  <si>
    <t>small_animal</t>
  </si>
  <si>
    <t>attack_distance</t>
  </si>
  <si>
    <t>description</t>
  </si>
  <si>
    <t>defaultX</t>
  </si>
  <si>
    <t>defaultY</t>
  </si>
  <si>
    <t>butchering_per_person</t>
  </si>
  <si>
    <t>scary</t>
  </si>
  <si>
    <t>foodType</t>
  </si>
  <si>
    <t>storageType</t>
  </si>
  <si>
    <t>additionalProducts</t>
  </si>
  <si>
    <t>produce_per_person</t>
  </si>
  <si>
    <t>boar</t>
  </si>
  <si>
    <t>bear</t>
  </si>
  <si>
    <t>wild hen</t>
  </si>
  <si>
    <t>wild rabbit</t>
  </si>
  <si>
    <t>wild cow</t>
  </si>
  <si>
    <t>wild hourse</t>
  </si>
  <si>
    <t>feather</t>
  </si>
  <si>
    <t>primitive arrow</t>
  </si>
  <si>
    <t>1 out 10</t>
  </si>
  <si>
    <t>hunters</t>
  </si>
  <si>
    <t>-spearman</t>
  </si>
  <si>
    <t>-archer</t>
  </si>
  <si>
    <t>pig</t>
  </si>
  <si>
    <t>10</t>
  </si>
  <si>
    <t>pig food</t>
  </si>
  <si>
    <t>minimum_in_squadre</t>
  </si>
  <si>
    <t>maximum_in_squadre</t>
  </si>
  <si>
    <t>animal_food</t>
  </si>
  <si>
    <t>ns1:name</t>
  </si>
  <si>
    <t>ns1:description</t>
  </si>
  <si>
    <t>ns1:defaultX</t>
  </si>
  <si>
    <t>ns1:defaultY</t>
  </si>
  <si>
    <t>ns1:maximum_in_territory</t>
  </si>
  <si>
    <t>no-growing resources</t>
  </si>
  <si>
    <t>growing resources</t>
  </si>
  <si>
    <t>grass</t>
  </si>
  <si>
    <t>straw</t>
  </si>
  <si>
    <t>straw rope</t>
  </si>
  <si>
    <t>ns1:tamed_to</t>
  </si>
  <si>
    <t>ns1:chance_to_tame</t>
  </si>
  <si>
    <t>rabbit</t>
  </si>
  <si>
    <t>hen</t>
  </si>
  <si>
    <t>cow</t>
  </si>
  <si>
    <t>horse</t>
  </si>
  <si>
    <t>egg</t>
  </si>
  <si>
    <t>milk</t>
  </si>
  <si>
    <t>wild sheep</t>
  </si>
  <si>
    <t>wool</t>
  </si>
  <si>
    <t>sheep</t>
  </si>
  <si>
    <t>ns1:produce_per_person</t>
  </si>
  <si>
    <t>ns1:dependency</t>
  </si>
  <si>
    <t>ns1:dependency_cost</t>
  </si>
  <si>
    <t>ns1:final_cost</t>
  </si>
  <si>
    <t>ns1:container</t>
  </si>
  <si>
    <t>ns1:container_type</t>
  </si>
  <si>
    <t>ns1:production_type</t>
  </si>
  <si>
    <t>ns1:trap_type</t>
  </si>
  <si>
    <t>ns1:chance_to_kill</t>
  </si>
  <si>
    <t xml:space="preserve"> rope trap</t>
  </si>
  <si>
    <t>0</t>
  </si>
  <si>
    <t>Tips</t>
  </si>
  <si>
    <t>Dependency</t>
  </si>
  <si>
    <t>nextScreen</t>
  </si>
  <si>
    <t>People</t>
  </si>
  <si>
    <t>-primitive arrow</t>
  </si>
  <si>
    <t>-grass</t>
  </si>
  <si>
    <t>-feather</t>
  </si>
  <si>
    <t>-pig food</t>
  </si>
  <si>
    <t>-straw</t>
  </si>
  <si>
    <t>-straw rope</t>
  </si>
  <si>
    <t>-egg</t>
  </si>
  <si>
    <t>-milk</t>
  </si>
  <si>
    <t>-wool</t>
  </si>
  <si>
    <t>-pig</t>
  </si>
  <si>
    <t>-rabbit</t>
  </si>
  <si>
    <t>-hen</t>
  </si>
  <si>
    <t>-cow</t>
  </si>
  <si>
    <t>-horse</t>
  </si>
  <si>
    <t>-sheep</t>
  </si>
  <si>
    <t xml:space="preserve"> -rope trap</t>
  </si>
  <si>
    <t>YellowPositionVector</t>
  </si>
  <si>
    <t>YellowSizeVector</t>
  </si>
  <si>
    <t>TargetObject(full path)</t>
  </si>
  <si>
    <t>ns1:IsItUI</t>
  </si>
  <si>
    <t>false</t>
  </si>
  <si>
    <t>true</t>
  </si>
  <si>
    <t>It is your people. By clicking on this icon, you can find all of their needs and consumptions. 
Right now, they need just some food, but after some researching, needs rise.</t>
  </si>
  <si>
    <t>Hello! This is the learning tips. You can skip them, but I recommend you to read it if you are playing in the first time. 
There is a lot of mechanics and some of them quite complicated.</t>
  </si>
  <si>
    <t>Number of people also displayed on this panel</t>
  </si>
  <si>
    <t>PopulationValue</t>
  </si>
  <si>
    <t>TimeText</t>
  </si>
  <si>
    <t>Here is your free workers that can be assigned to any job.</t>
  </si>
  <si>
    <t>WorkersValue</t>
  </si>
  <si>
    <t>clean vegetables</t>
  </si>
  <si>
    <t>Right now all the people collecting wild vegetables.
Let's have a look on the structure closer</t>
  </si>
  <si>
    <t>1;1</t>
  </si>
  <si>
    <t>-0,45;0,5</t>
  </si>
  <si>
    <t>This is the number of workers assigned on this job</t>
  </si>
  <si>
    <t>2,1;0,4</t>
  </si>
  <si>
    <t>Productivity</t>
  </si>
  <si>
    <t>-1,1;-0,35</t>
  </si>
  <si>
    <t>ItemCount</t>
  </si>
  <si>
    <t xml:space="preserve">Higher you can find the current date and the game speed. </t>
  </si>
  <si>
    <t>This is the time managament menu. 
Here, you can decrease, increase the game speed or pause/unpause it.</t>
  </si>
  <si>
    <t>TimePlus</t>
  </si>
  <si>
    <t>90;30</t>
  </si>
  <si>
    <t>-45;-15</t>
  </si>
  <si>
    <t xml:space="preserve">This is the current stock quantity and warehouse size.
</t>
  </si>
  <si>
    <t>This is the productivity of the current items: if it is positive, amount is rising, if it is negative, amount is decreasing.
Based on the productivity, the arrow colors are changing: 
If source materials are rising, arrows are green. 
if source materials are going down, arrows are red.
If source materials are constant or not used, arrows are white.
You can find this information on the color legend</t>
  </si>
  <si>
    <t>The button "minus" used to set a person free of this job.</t>
  </si>
  <si>
    <t>tip11</t>
  </si>
  <si>
    <t>The button "plus" used to set a person on this job. Let's produce some clean vegetables</t>
  </si>
  <si>
    <t>Canvas\Button_minus</t>
  </si>
  <si>
    <t>Canvas\Button_plus</t>
  </si>
  <si>
    <t>smallIcon</t>
  </si>
  <si>
    <t>After the whole bar fills, the research button avaliable. It unlocks new items and researchs</t>
  </si>
  <si>
    <t>Canvas\Button_up</t>
  </si>
  <si>
    <t>This icon mean the researching. The stock here is how many items need/used.</t>
  </si>
  <si>
    <t>tip15</t>
  </si>
  <si>
    <t>Hunting is a tricky thing. Right now, you can't choose who gets caught. Many animals are stronger than bare humans. Many animals are faster than bare humans. You definitely need something to be successful on the hunt.</t>
  </si>
  <si>
    <t>raw meat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</si>
</sst>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
  </numFmts>
  <fonts count="4" x14ac:knownFonts="1">
    <font>
      <sz val="11"/>
      <color theme="1"/>
      <name val="Calibri"/>
      <family val="2"/>
      <scheme val="minor"/>
    </font>
    <font>
      <b/>
      <sz val="11"/>
      <color theme="0"/>
      <name val="Calibri"/>
      <family val="2"/>
      <scheme val="minor"/>
    </font>
    <font>
      <sz val="8"/>
      <name val="Calibri"/>
      <family val="2"/>
      <scheme val="minor"/>
    </font>
    <font>
      <u/>
      <sz val="11"/>
      <color theme="10"/>
      <name val="Calibri"/>
      <family val="2"/>
      <scheme val="minor"/>
    </font>
  </fonts>
  <fills count="5">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0"/>
        <bgColor theme="0"/>
      </patternFill>
    </fill>
  </fills>
  <borders count="5">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s>
  <cellStyleXfs count="2">
    <xf numFmtId="0" fontId="0" fillId="0" borderId="0"/>
    <xf numFmtId="0" fontId="3" fillId="0" borderId="0" applyNumberFormat="0" applyFill="0" applyBorder="0" applyAlignment="0" applyProtection="0"/>
  </cellStyleXfs>
  <cellXfs count="50">
    <xf numFmtId="0" fontId="0" fillId="0" borderId="0" xfId="0"/>
    <xf numFmtId="2" fontId="0" fillId="0" borderId="0" xfId="0" applyNumberFormat="1"/>
    <xf numFmtId="164" fontId="0" fillId="0" borderId="0" xfId="0" applyNumberFormat="1"/>
    <xf numFmtId="49" fontId="0" fillId="0" borderId="0" xfId="0" applyNumberFormat="1" applyAlignment="1">
      <alignment wrapText="1"/>
    </xf>
    <xf numFmtId="0" fontId="0" fillId="0" borderId="0" xfId="0" applyAlignment="1">
      <alignment wrapText="1"/>
    </xf>
    <xf numFmtId="49" fontId="0" fillId="0" borderId="0" xfId="0" applyNumberFormat="1"/>
    <xf numFmtId="0" fontId="0" fillId="0" borderId="0" xfId="0" applyBorder="1"/>
    <xf numFmtId="49" fontId="0" fillId="0" borderId="0" xfId="0" applyNumberFormat="1" applyBorder="1"/>
    <xf numFmtId="164" fontId="0" fillId="0" borderId="0" xfId="0" applyNumberFormat="1" applyBorder="1"/>
    <xf numFmtId="2" fontId="0" fillId="0" borderId="0" xfId="0" applyNumberFormat="1" applyBorder="1"/>
    <xf numFmtId="0" fontId="0" fillId="0" borderId="0" xfId="0" applyNumberFormat="1" applyBorder="1"/>
    <xf numFmtId="0" fontId="0" fillId="0" borderId="0" xfId="0" applyNumberFormat="1"/>
    <xf numFmtId="0" fontId="0" fillId="0" borderId="0" xfId="0" applyNumberFormat="1" applyAlignment="1">
      <alignment horizontal="right"/>
    </xf>
    <xf numFmtId="2" fontId="0" fillId="0" borderId="0" xfId="0" applyNumberFormat="1" applyAlignment="1">
      <alignment wrapText="1"/>
    </xf>
    <xf numFmtId="0" fontId="1" fillId="2" borderId="1" xfId="0" applyFont="1" applyFill="1" applyBorder="1"/>
    <xf numFmtId="0" fontId="1" fillId="2" borderId="2" xfId="0" applyFont="1" applyFill="1" applyBorder="1"/>
    <xf numFmtId="2" fontId="0" fillId="0" borderId="0" xfId="0" applyNumberFormat="1" applyAlignment="1">
      <alignment horizontal="right"/>
    </xf>
    <xf numFmtId="0" fontId="0" fillId="0" borderId="2" xfId="0" applyFont="1" applyBorder="1"/>
    <xf numFmtId="0" fontId="0" fillId="0" borderId="2" xfId="0" applyNumberFormat="1" applyFont="1" applyBorder="1"/>
    <xf numFmtId="0" fontId="1" fillId="2" borderId="3" xfId="0" applyFont="1" applyFill="1" applyBorder="1"/>
    <xf numFmtId="0" fontId="1" fillId="2" borderId="0" xfId="0" applyFont="1" applyFill="1" applyBorder="1"/>
    <xf numFmtId="2" fontId="0" fillId="3" borderId="4" xfId="0" applyNumberFormat="1" applyFont="1" applyFill="1" applyBorder="1"/>
    <xf numFmtId="49" fontId="0" fillId="3" borderId="4" xfId="0" applyNumberFormat="1" applyFont="1" applyFill="1" applyBorder="1"/>
    <xf numFmtId="2" fontId="0" fillId="0" borderId="0" xfId="0" applyNumberFormat="1" applyBorder="1" applyAlignment="1">
      <alignment horizontal="right"/>
    </xf>
    <xf numFmtId="0" fontId="0" fillId="0" borderId="4" xfId="0" applyFont="1" applyBorder="1"/>
    <xf numFmtId="0" fontId="0" fillId="0" borderId="4" xfId="0" applyNumberFormat="1" applyFont="1" applyBorder="1"/>
    <xf numFmtId="49" fontId="0" fillId="3" borderId="1" xfId="0" applyNumberFormat="1" applyFont="1" applyFill="1" applyBorder="1"/>
    <xf numFmtId="49" fontId="0" fillId="3" borderId="2" xfId="0" applyNumberFormat="1" applyFont="1" applyFill="1" applyBorder="1"/>
    <xf numFmtId="0" fontId="0" fillId="3" borderId="2" xfId="0" applyFont="1" applyFill="1" applyBorder="1"/>
    <xf numFmtId="0" fontId="0" fillId="4" borderId="3" xfId="0" applyFont="1" applyFill="1" applyBorder="1"/>
    <xf numFmtId="2" fontId="0" fillId="0" borderId="4" xfId="0" applyNumberFormat="1" applyFont="1" applyBorder="1"/>
    <xf numFmtId="49" fontId="0" fillId="0" borderId="2" xfId="0" applyNumberFormat="1" applyFont="1" applyBorder="1"/>
    <xf numFmtId="0" fontId="1" fillId="2" borderId="0" xfId="0" applyFont="1" applyFill="1"/>
    <xf numFmtId="49" fontId="0" fillId="0" borderId="2" xfId="0" applyNumberFormat="1" applyFont="1" applyBorder="1" applyAlignment="1">
      <alignment wrapText="1"/>
    </xf>
    <xf numFmtId="49" fontId="0" fillId="3" borderId="2" xfId="0" applyNumberFormat="1" applyFont="1" applyFill="1" applyBorder="1" applyAlignment="1">
      <alignment wrapText="1"/>
    </xf>
    <xf numFmtId="49" fontId="3" fillId="3" borderId="2" xfId="1" applyNumberFormat="1" applyFont="1" applyFill="1" applyBorder="1"/>
    <xf numFmtId="0" fontId="0" fillId="0" borderId="0" xfId="0" applyBorder="1" applyAlignment="1">
      <alignment wrapText="1"/>
    </xf>
    <xf numFmtId="0" fontId="0" fillId="3" borderId="4" xfId="0" applyFont="1" applyFill="1" applyBorder="1"/>
    <xf numFmtId="49" fontId="0" fillId="0" borderId="4" xfId="0" applyNumberFormat="1" applyFont="1" applyBorder="1"/>
    <xf numFmtId="0" fontId="0" fillId="0" borderId="0" xfId="0" quotePrefix="1" applyBorder="1"/>
    <xf numFmtId="0" fontId="0" fillId="0" borderId="4" xfId="0" quotePrefix="1" applyFont="1" applyBorder="1"/>
    <xf numFmtId="49" fontId="0" fillId="0" borderId="0" xfId="0" applyNumberFormat="1" applyFont="1" applyBorder="1"/>
    <xf numFmtId="0" fontId="0" fillId="3" borderId="2" xfId="0" applyNumberFormat="1" applyFont="1" applyFill="1" applyBorder="1"/>
    <xf numFmtId="0" fontId="0" fillId="0" borderId="0" xfId="0" quotePrefix="1" applyFont="1" applyBorder="1"/>
    <xf numFmtId="0" fontId="0" fillId="0" borderId="0" xfId="0" applyFont="1" applyBorder="1"/>
    <xf numFmtId="49" fontId="0" fillId="0" borderId="0" xfId="0" applyNumberFormat="1" applyBorder="1" applyAlignment="1">
      <alignment wrapText="1"/>
    </xf>
    <xf numFmtId="49" fontId="0" fillId="0" borderId="0" xfId="0" applyNumberFormat="1" applyFont="1" applyBorder="1" applyAlignment="1">
      <alignment wrapText="1"/>
    </xf>
    <xf numFmtId="0" fontId="0" fillId="3" borderId="4" xfId="0" applyNumberFormat="1" applyFont="1" applyFill="1" applyBorder="1"/>
    <xf numFmtId="0" fontId="0" fillId="0" borderId="0" xfId="0" applyNumberFormat="1" applyFont="1" applyBorder="1"/>
    <xf numFmtId="0" fontId="1" fillId="2" borderId="0" xfId="0" applyNumberFormat="1" applyFont="1" applyFill="1" applyBorder="1"/>
  </cellXfs>
  <cellStyles count="2">
    <cellStyle name="Гиперссылка" xfId="1" builtinId="8"/>
    <cellStyle name="Обычный" xfId="0" builtinId="0"/>
  </cellStyles>
  <dxfs count="81">
    <dxf>
      <numFmt numFmtId="0" formatCode="General"/>
    </dxf>
    <dxf>
      <numFmt numFmtId="30" formatCode="@"/>
    </dxf>
    <dxf>
      <numFmt numFmtId="0" formatCode="General"/>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0" formatCode="General"/>
    </dxf>
    <dxf>
      <numFmt numFmtId="2" formatCode="0.00"/>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30" formatCode="@"/>
    </dxf>
    <dxf>
      <numFmt numFmtId="30" formatCode="@"/>
    </dxf>
    <dxf>
      <numFmt numFmtId="2" formatCode="0.00"/>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numFmt numFmtId="2" formatCode="0.00"/>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4" tint="0.39997558519241921"/>
        </left>
        <right style="thin">
          <color theme="4" tint="0.39997558519241921"/>
        </right>
        <top/>
        <bottom/>
      </border>
    </dxf>
    <dxf>
      <numFmt numFmtId="2" formatCode="0.00"/>
    </dxf>
    <dxf>
      <numFmt numFmtId="30" formatCode="@"/>
    </dxf>
    <dxf>
      <numFmt numFmtId="0" formatCode="General"/>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2" formatCode="0.00"/>
    </dxf>
    <dxf>
      <numFmt numFmtId="2" formatCode="0.00"/>
    </dxf>
    <dxf>
      <numFmt numFmtId="164" formatCode="0.00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30" formatCode="@"/>
    </dxf>
    <dxf>
      <border outline="0">
        <left style="thin">
          <color theme="4" tint="0.39997558519241921"/>
        </left>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2" formatCode="0.00"/>
      <alignment horizontal="general" vertical="bottom" textRotation="0" wrapText="1" indent="0" justifyLastLine="0" shrinkToFit="0" readingOrder="0"/>
    </dxf>
    <dxf>
      <numFmt numFmtId="2" formatCode="0.00"/>
      <alignment horizontal="general" vertical="bottom" textRotation="0" wrapText="1" indent="0" justifyLastLine="0" shrinkToFit="0" readingOrder="0"/>
    </dxf>
    <dxf>
      <numFmt numFmtId="30" formatCode="@"/>
      <alignment horizontal="general" vertical="bottom" textRotation="0" wrapText="1" relativeIndent="0" justifyLastLine="0" shrinkToFit="0" readingOrder="0"/>
    </dxf>
    <dxf>
      <numFmt numFmtId="0" formatCode="General"/>
    </dxf>
    <dxf>
      <numFmt numFmtId="0" formatCode="General"/>
    </dxf>
    <dxf>
      <numFmt numFmtId="2" formatCode="0.00"/>
    </dxf>
    <dxf>
      <numFmt numFmtId="30" formatCode="@"/>
    </dxf>
    <dxf>
      <numFmt numFmtId="2" formatCode="0.00"/>
    </dxf>
    <dxf>
      <numFmt numFmtId="2" formatCode="0.00"/>
    </dxf>
    <dxf>
      <numFmt numFmtId="30" formatCode="@"/>
    </dxf>
    <dxf>
      <numFmt numFmtId="2" formatCode="0.00"/>
    </dxf>
    <dxf>
      <numFmt numFmtId="2" formatCode="0.00"/>
      <alignment horizontal="right" vertical="bottom" textRotation="0" wrapText="0" indent="0" justifyLastLine="0" shrinkToFit="0" readingOrder="0"/>
    </dxf>
    <dxf>
      <numFmt numFmtId="2" formatCode="0.00"/>
    </dxf>
    <dxf>
      <numFmt numFmtId="2" formatCode="0.00"/>
    </dxf>
    <dxf>
      <numFmt numFmtId="164" formatCode="0.00000"/>
    </dxf>
    <dxf>
      <numFmt numFmtId="30" formatCode="@"/>
    </dxf>
    <dxf>
      <numFmt numFmtId="0" formatCode="General"/>
    </dxf>
    <dxf>
      <numFmt numFmtId="2" formatCode="0.00"/>
    </dxf>
    <dxf>
      <numFmt numFmtId="2" formatCode="0.00"/>
    </dxf>
    <dxf>
      <numFmt numFmtId="2" formatCode="0.00"/>
    </dxf>
    <dxf>
      <numFmt numFmtId="2" formatCode="0.00"/>
    </dxf>
    <dxf>
      <numFmt numFmtId="2" formatCode="0.00"/>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ExcelLoading'">
  <Schema ID="Schema10">
    <xs:schema xmlns:xs="http://www.w3.org/2001/XMLSchema" xmlns="" attributeFormDefault="unqualified" elementFormDefault="qualified">
      <xs:element name="celebrations">
        <xs:complexType>
          <xs:sequence>
            <xs:element name="repetative" maxOccurs="unbounded" minOccurs="0">
              <xs:complexType>
                <xs:sequence>
                  <xs:element type="xs:string" name="instrument"/>
                  <xs:element type="xs:decimal" name="musicants"/>
                  <xs:element type="xs:decimal" name="persons"/>
                  <xs:element type="xs:decimal" name="happiness"/>
                </xs:sequence>
              </xs:complexType>
            </xs:element>
          </xs:sequence>
        </xs:complexType>
      </xs:element>
    </xs:schema>
  </Schema>
  <Schema ID="Schema16"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7"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3"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9"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9"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1"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0"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5"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2"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1"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8"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2"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element type="xs:string" name="tip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4"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element type="xs:string" name="tip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Map ID="167" Name="AllTips_карта" RootElement="AllTips" SchemaID="Schema24" ShowImportExportValidationErrors="false" AutoFit="true" Append="false" PreserveSortAFLayout="true" PreserveFormat="true"/>
  <Map ID="94" Name="army_Map" RootElement="army" SchemaID="Schema19" ShowImportExportValidationErrors="false" AutoFit="true" Append="false" PreserveSortAFLayout="true" PreserveFormat="true"/>
  <Map ID="88" Name="buildings_Map" RootElement="buildings" SchemaID="Schema17" ShowImportExportValidationErrors="false" AutoFit="true" Append="false" PreserveSortAFLayout="true" PreserveFormat="true"/>
  <Map ID="26" Name="celebrations_Map" RootElement="celebrations" SchemaID="Schema10" ShowImportExportValidationErrors="false" AutoFit="true" Append="false" PreserveSortAFLayout="true" PreserveFormat="true"/>
  <Map ID="105" Name="domesticAnimal_Map" RootElement="domesticAnimal" SchemaID="Schema20" ShowImportExportValidationErrors="false" AutoFit="true" Append="false" PreserveSortAFLayout="true" PreserveFormat="true"/>
  <Map ID="95" Name="effect_Map" RootElement="effect" SchemaID="Schema11" ShowImportExportValidationErrors="false" AutoFit="true" Append="false" PreserveSortAFLayout="true" PreserveFormat="true"/>
  <Map ID="86" Name="items_Map" RootElement="items" SchemaID="Schema16" ShowImportExportValidationErrors="false" AutoFit="true" Append="false" PreserveSortAFLayout="true" PreserveFormat="true"/>
  <Map ID="90" Name="materials_Map" RootElement="materials" SchemaID="Schema13" ShowImportExportValidationErrors="false" AutoFit="true" Append="false" PreserveSortAFLayout="true" PreserveFormat="true"/>
  <Map ID="114" Name="mineralResource_Map" RootElement="mineralResource" SchemaID="Schema15" ShowImportExportValidationErrors="false" AutoFit="true" Append="false" PreserveSortAFLayout="true" PreserveFormat="true"/>
  <Map ID="91" Name="process_Map" RootElement="process" SchemaID="Schema9" ShowImportExportValidationErrors="false" AutoFit="true" Append="false" PreserveSortAFLayout="true" PreserveFormat="true"/>
  <Map ID="115" Name="resource_Map" RootElement="resource" SchemaID="Schema12" ShowImportExportValidationErrors="false" AutoFit="true" Append="false" PreserveSortAFLayout="true" PreserveFormat="true"/>
  <Map ID="122" Name="science_карта" RootElement="science" SchemaID="Schema22" ShowImportExportValidationErrors="false" AutoFit="true" Append="false" PreserveSortAFLayout="true" PreserveFormat="true"/>
  <Map ID="120" Name="traps_Map" RootElement="traps" SchemaID="Schema18" ShowImportExportValidationErrors="false" AutoFit="true" Append="false" PreserveSortAFLayout="true" PreserveFormat="true"/>
  <Map ID="119" Name="wildAnimal_Map" RootElement="wildAnimal" SchemaID="Schema2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xmlMaps" Target="xmlMap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Таблица5" displayName="Таблица5" ref="A1:Q23" tableType="xml" totalsRowShown="0">
  <autoFilter ref="A1:Q23" xr:uid="{00000000-0009-0000-0100-000005000000}"/>
  <tableColumns count="17">
    <tableColumn id="1" xr3:uid="{00000000-0010-0000-0000-000001000000}" uniqueName="ns1:name" name="name">
      <xmlColumnPr mapId="86" xpath="/ns1:items/ns1:repetative/ns1:name" xmlDataType="string"/>
    </tableColumn>
    <tableColumn id="15" xr3:uid="{00000000-0010-0000-0000-00000F000000}" uniqueName="ns1:description" name="Description" dataDxfId="80">
      <xmlColumnPr mapId="86" xpath="/ns1:items/ns1:repetative/ns1:description" xmlDataType="string"/>
    </tableColumn>
    <tableColumn id="17" xr3:uid="{00000000-0010-0000-0000-000011000000}" uniqueName="ns1:defaultX" name="Default X" dataDxfId="79">
      <xmlColumnPr mapId="86" xpath="/ns1:items/ns1:repetative/ns1:defaultX" xmlDataType="float"/>
    </tableColumn>
    <tableColumn id="16" xr3:uid="{00000000-0010-0000-0000-000010000000}" uniqueName="ns1:defaultY" name="Default Y" dataDxfId="78">
      <xmlColumnPr mapId="86" xpath="/ns1:items/ns1:repetative/ns1:defaultY" xmlDataType="float"/>
    </tableColumn>
    <tableColumn id="2" xr3:uid="{00000000-0010-0000-0000-000002000000}" uniqueName="ns1:produce_per_person" name="produce per person" dataDxfId="77">
      <xmlColumnPr mapId="86" xpath="/ns1:items/ns1:repetative/ns1:produce_per_person" xmlDataType="string"/>
    </tableColumn>
    <tableColumn id="3" xr3:uid="{00000000-0010-0000-0000-000003000000}" uniqueName="ns1:dependency" name="dependency" dataDxfId="76">
      <xmlColumnPr mapId="86" xpath="/ns1:items/ns1:repetative/ns1:dependency" xmlDataType="string"/>
    </tableColumn>
    <tableColumn id="4" xr3:uid="{00000000-0010-0000-0000-000004000000}" uniqueName="ns1:dependency_cost" name="dependecy cost" dataDxfId="75">
      <xmlColumnPr mapId="86" xpath="/ns1:items/ns1:repetative/ns1:dependency_cost" xmlDataType="float"/>
    </tableColumn>
    <tableColumn id="5" xr3:uid="{00000000-0010-0000-0000-000005000000}" uniqueName="ns1:final_cost" name="final cost">
      <calculatedColumnFormula>(1 + Materials!G3) / Materials!E3</calculatedColumnFormula>
      <xmlColumnPr mapId="86" xpath="/ns1:items/ns1:repetative/ns1:final_cost" xmlDataType="float"/>
    </tableColumn>
    <tableColumn id="13" xr3:uid="{00000000-0010-0000-0000-00000D000000}" uniqueName="ns1:container" name="container">
      <xmlColumnPr mapId="86" xpath="/ns1:items/ns1:repetative/ns1:container" xmlDataType="float"/>
    </tableColumn>
    <tableColumn id="14" xr3:uid="{00000000-0010-0000-0000-00000E000000}" uniqueName="ns1:container_type" name="Container type" dataDxfId="74">
      <xmlColumnPr mapId="86" xpath="/ns1:items/ns1:repetative/ns1:container_type" xmlDataType="string"/>
    </tableColumn>
    <tableColumn id="12" xr3:uid="{00000000-0010-0000-0000-00000C000000}" uniqueName="ns1:production_type" name="production_type" dataDxfId="73">
      <xmlColumnPr mapId="86" xpath="/ns1:items/ns1:repetative/ns1:production_type" xmlDataType="string"/>
    </tableColumn>
    <tableColumn id="6" xr3:uid="{00000000-0010-0000-0000-000006000000}" uniqueName="ns1:bug" name="bug" dataDxfId="72">
      <calculatedColumnFormula>1/ 100</calculatedColumnFormula>
      <xmlColumnPr mapId="86" xpath="/ns1:items/ns1:repetative/ns1:bug" xmlDataType="float"/>
    </tableColumn>
    <tableColumn id="7" xr3:uid="{00000000-0010-0000-0000-000007000000}" uniqueName="ns1:critical" name="critical">
      <xmlColumnPr mapId="86" xpath="/ns1:items/ns1:repetative/ns1:critical" xmlDataType="string"/>
    </tableColumn>
    <tableColumn id="9" xr3:uid="{00000000-0010-0000-0000-000009000000}" uniqueName="ns1:bug_fixing_per_second" name="bug fixing per second" dataDxfId="71">
      <xmlColumnPr mapId="86" xpath="/ns1:items/ns1:repetative/ns1:bug_fixing_per_second" xmlDataType="float"/>
    </tableColumn>
    <tableColumn id="10" xr3:uid="{00000000-0010-0000-0000-00000A000000}" uniqueName="ns1:effectivity" name="effectivity" dataDxfId="70">
      <calculatedColumnFormula>Materials!#REF!/Materials!#REF!</calculatedColumnFormula>
      <xmlColumnPr mapId="86" xpath="/ns1:items/ns1:repetative/ns1:effectivity" xmlDataType="float"/>
    </tableColumn>
    <tableColumn id="11" xr3:uid="{00000000-0010-0000-0000-00000B000000}" uniqueName="ns1:increasing" name="increasing" dataDxfId="69">
      <xmlColumnPr mapId="86" xpath="/ns1:items/ns1:repetative/ns1:increasing" xmlDataType="float"/>
    </tableColumn>
    <tableColumn id="8" xr3:uid="{00000000-0010-0000-0000-000008000000}" uniqueName="ns1:effect_type" name="effect_type" dataDxfId="68">
      <xmlColumnPr mapId="86" xpath="/ns1:items/ns1:repetative/ns1:effect_type" xmlDataType="string"/>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Таблица4" displayName="Таблица4" ref="A1:M16" tableType="xml" totalsRowShown="0">
  <autoFilter ref="A1:M16" xr:uid="{00000000-0009-0000-0100-000004000000}"/>
  <tableColumns count="13">
    <tableColumn id="1" xr3:uid="{00000000-0010-0000-0100-000001000000}" uniqueName="ns1:name" name=" name">
      <xmlColumnPr mapId="122" xpath="/ns1:science/ns1:repetative/ns1:name" xmlDataType="string"/>
    </tableColumn>
    <tableColumn id="11" xr3:uid="{00000000-0010-0000-0100-00000B000000}" uniqueName="ns1:description" name="Description" dataDxfId="67">
      <xmlColumnPr mapId="122" xpath="/ns1:science/ns1:repetative/ns1:description" xmlDataType="string"/>
    </tableColumn>
    <tableColumn id="10" xr3:uid="{00000000-0010-0000-0100-00000A000000}" uniqueName="ns1:defaultX" name="Default X" dataDxfId="66">
      <xmlColumnPr mapId="122" xpath="/ns1:science/ns1:repetative/ns1:defaultX" xmlDataType="float"/>
    </tableColumn>
    <tableColumn id="9" xr3:uid="{00000000-0010-0000-0100-000009000000}" uniqueName="ns1:defaultY" name="Default Y" dataDxfId="65">
      <xmlColumnPr mapId="122" xpath="/ns1:science/ns1:repetative/ns1:defaultY" xmlDataType="float"/>
    </tableColumn>
    <tableColumn id="4" xr3:uid="{00000000-0010-0000-0100-000004000000}" uniqueName="ns1:produce_per_person" name="produce per person" dataDxfId="64">
      <xmlColumnPr mapId="122" xpath="/ns1:science/ns1:repetative/ns1:produce_per_person" xmlDataType="string"/>
    </tableColumn>
    <tableColumn id="2" xr3:uid="{00000000-0010-0000-0100-000002000000}" uniqueName="ns1:dependency" name="dependency" dataDxfId="63">
      <xmlColumnPr mapId="122" xpath="/ns1:science/ns1:repetative/ns1:dependency" xmlDataType="string"/>
    </tableColumn>
    <tableColumn id="5" xr3:uid="{00000000-0010-0000-0100-000005000000}" uniqueName="ns1:dependency_cost" name="dependency cost" dataDxfId="62">
      <xmlColumnPr mapId="122" xpath="/ns1:science/ns1:repetative/ns1:dependency_cost" xmlDataType="float"/>
    </tableColumn>
    <tableColumn id="6" xr3:uid="{00000000-0010-0000-0100-000006000000}" uniqueName="ns1:final_cost" name="final cost" dataDxfId="61">
      <calculatedColumnFormula>(200 )/E2 + G2</calculatedColumnFormula>
      <xmlColumnPr mapId="122" xpath="/ns1:science/ns1:repetative/ns1:final_cost" xmlDataType="float"/>
    </tableColumn>
    <tableColumn id="3" xr3:uid="{00000000-0010-0000-0100-000003000000}" uniqueName="ns1:opens" name="opens" dataDxfId="60">
      <xmlColumnPr mapId="122" xpath="/ns1:science/ns1:repetative/ns1:opens" xmlDataType="string"/>
    </tableColumn>
    <tableColumn id="12" xr3:uid="{00000000-0010-0000-0100-00000C000000}" uniqueName="ns1:closes" name="Closes" dataDxfId="59">
      <xmlColumnPr mapId="122" xpath="/ns1:science/ns1:repetative/ns1:closes" xmlDataType="string"/>
    </tableColumn>
    <tableColumn id="13" xr3:uid="{05E37A63-EFC2-4B9F-83C5-28B2E06C432E}" uniqueName="ns1:tips" name="Tips" dataDxfId="58">
      <xmlColumnPr mapId="122" xpath="/ns1:science/ns1:repetative/ns1:tips" xmlDataType="string"/>
    </tableColumn>
    <tableColumn id="7" xr3:uid="{00000000-0010-0000-0100-000007000000}" uniqueName="7" name="first component count"/>
    <tableColumn id="8" xr3:uid="{00000000-0010-0000-0100-000008000000}" uniqueName="8" name="second component c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0EB45A8-CE4C-45F9-87CD-C80546ABA668}" name="Таблица14" displayName="Таблица14" ref="A1:J16" tableType="xml" totalsRowShown="0" headerRowDxfId="57" tableBorderDxfId="56">
  <autoFilter ref="A1:J16" xr:uid="{457B8031-4B43-401F-A772-87BF476B9526}"/>
  <tableColumns count="10">
    <tableColumn id="1" xr3:uid="{C5458907-9521-4254-A305-C3EF78CFE95A}" uniqueName="ns1:name" name="name">
      <calculatedColumnFormula>"tip" &amp; K2</calculatedColumnFormula>
      <xmlColumnPr mapId="167" xpath="/ns1:AllTips/ns1:repetative/ns1:name" xmlDataType="string"/>
    </tableColumn>
    <tableColumn id="2" xr3:uid="{9D342770-0CB7-4784-A9D0-20670A47B014}" uniqueName="ns1:description" name="Description">
      <xmlColumnPr mapId="167" xpath="/ns1:AllTips/ns1:repetative/ns1:description" xmlDataType="string"/>
    </tableColumn>
    <tableColumn id="3" xr3:uid="{65230812-D05B-4FB2-A4E3-2FDF962B5228}" uniqueName="ns1:defaultX" name="Default X">
      <xmlColumnPr mapId="167" xpath="/ns1:AllTips/ns1:repetative/ns1:defaultX" xmlDataType="float"/>
    </tableColumn>
    <tableColumn id="4" xr3:uid="{3456612F-57CA-4829-B9B3-FCB23C44C758}" uniqueName="ns1:defaultY" name="Default Y">
      <xmlColumnPr mapId="167" xpath="/ns1:AllTips/ns1:repetative/ns1:defaultY" xmlDataType="float"/>
    </tableColumn>
    <tableColumn id="5" xr3:uid="{FFA10249-74E2-4705-8256-CFD0C813C204}" uniqueName="ns1:targetIcon" name="Dependency" dataDxfId="0">
      <xmlColumnPr mapId="167" xpath="/ns1:AllTips/ns1:repetative/ns1:targetIcon" xmlDataType="string"/>
    </tableColumn>
    <tableColumn id="9" xr3:uid="{8FBE0772-4301-4D8A-A5BD-AAB18CA1B2F5}" uniqueName="ns1:targetObject" name="TargetObject(full path)" dataDxfId="55">
      <xmlColumnPr mapId="167" xpath="/ns1:AllTips/ns1:repetative/ns1:targetObject" xmlDataType="string"/>
    </tableColumn>
    <tableColumn id="6" xr3:uid="{E6BFA7EE-1F85-4B67-A886-790F21C12E15}" uniqueName="ns1:nextTip" name="nextScreen" dataDxfId="54">
      <calculatedColumnFormula>A3</calculatedColumnFormula>
      <xmlColumnPr mapId="167" xpath="/ns1:AllTips/ns1:repetative/ns1:nextTip" xmlDataType="string"/>
    </tableColumn>
    <tableColumn id="7" xr3:uid="{012CAF84-DD44-4BFB-86CE-3AFC1D131E79}" uniqueName="ns1:yellowPositionVector" name="YellowPositionVector">
      <xmlColumnPr mapId="167" xpath="/ns1:AllTips/ns1:repetative/ns1:yellowPositionVector" xmlDataType="string"/>
    </tableColumn>
    <tableColumn id="8" xr3:uid="{AE7C022E-A5C4-49FB-B0C6-D02A2426E536}" uniqueName="ns1:yellowSizeVector" name="YellowSizeVector">
      <xmlColumnPr mapId="167" xpath="/ns1:AllTips/ns1:repetative/ns1:yellowSizeVector" xmlDataType="string"/>
    </tableColumn>
    <tableColumn id="10" xr3:uid="{4905F474-0F83-494D-AFE3-E9954B0141ED}" uniqueName="ns1:isItUI" name="ns1:IsItUI">
      <xmlColumnPr mapId="167" xpath="/ns1:AllTips/ns1:repetative/ns1:isItUI" xmlDataType="boolean"/>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Таблица2" displayName="Таблица2" ref="A1:R6" tableType="xml" totalsRowShown="0">
  <autoFilter ref="A1:R6" xr:uid="{00000000-0009-0000-0100-000002000000}"/>
  <tableColumns count="18">
    <tableColumn id="1" xr3:uid="{00000000-0010-0000-0200-000001000000}" uniqueName="ns1:name" name="name">
      <xmlColumnPr mapId="88" xpath="/ns1:buildings/ns1:repetative/ns1:name" xmlDataType="string"/>
    </tableColumn>
    <tableColumn id="18" xr3:uid="{00000000-0010-0000-0200-000012000000}" uniqueName="ns1:description" name="Description" dataDxfId="53">
      <xmlColumnPr mapId="88" xpath="/ns1:buildings/ns1:repetative/ns1:description" xmlDataType="string"/>
    </tableColumn>
    <tableColumn id="17" xr3:uid="{00000000-0010-0000-0200-000011000000}" uniqueName="ns1:defaultX" name="Default X" dataDxfId="52">
      <xmlColumnPr mapId="88" xpath="/ns1:buildings/ns1:repetative/ns1:defaultX" xmlDataType="float"/>
    </tableColumn>
    <tableColumn id="16" xr3:uid="{00000000-0010-0000-0200-000010000000}" uniqueName="ns1:defaultY" name="Default Y" dataDxfId="51">
      <xmlColumnPr mapId="88" xpath="/ns1:buildings/ns1:repetative/ns1:defaultY" xmlDataType="float"/>
    </tableColumn>
    <tableColumn id="2" xr3:uid="{00000000-0010-0000-0200-000002000000}" uniqueName="ns1:produce_per_person" name="produce per person" dataDxfId="50">
      <xmlColumnPr mapId="88" xpath="/ns1:buildings/ns1:repetative/ns1:produce_per_person" xmlDataType="string"/>
    </tableColumn>
    <tableColumn id="3" xr3:uid="{00000000-0010-0000-0200-000003000000}" uniqueName="ns1:dependency" name="dependency" dataDxfId="49">
      <xmlColumnPr mapId="88" xpath="/ns1:buildings/ns1:repetative/ns1:dependency" xmlDataType="string"/>
    </tableColumn>
    <tableColumn id="4" xr3:uid="{00000000-0010-0000-0200-000004000000}" uniqueName="ns1:dependency_cost" name="dependecy cost" dataDxfId="48">
      <xmlColumnPr mapId="88" xpath="/ns1:buildings/ns1:repetative/ns1:dependency_cost" xmlDataType="float"/>
    </tableColumn>
    <tableColumn id="5" xr3:uid="{00000000-0010-0000-0200-000005000000}" uniqueName="ns1:final_cost" name="final cost" dataDxfId="47">
      <calculatedColumnFormula>(1+G2 )/S2</calculatedColumnFormula>
      <xmlColumnPr mapId="88" xpath="/ns1:buildings/ns1:repetative/ns1:final_cost" xmlDataType="float"/>
    </tableColumn>
    <tableColumn id="8" xr3:uid="{00000000-0010-0000-0200-000008000000}" uniqueName="ns1:container" name="territory">
      <xmlColumnPr mapId="88" xpath="/ns1:buildings/ns1:repetative/ns1:container" xmlDataType="float"/>
    </tableColumn>
    <tableColumn id="15" xr3:uid="{00000000-0010-0000-0200-00000F000000}" uniqueName="ns1:container_type" name="container type">
      <xmlColumnPr mapId="88" xpath="/ns1:buildings/ns1:repetative/ns1:container_type" xmlDataType="string"/>
    </tableColumn>
    <tableColumn id="14" xr3:uid="{00000000-0010-0000-0200-00000E000000}" uniqueName="ns1:production_type" name="production_type" dataDxfId="46">
      <xmlColumnPr mapId="88" xpath="/ns1:buildings/ns1:repetative/ns1:production_type" xmlDataType="string"/>
    </tableColumn>
    <tableColumn id="6" xr3:uid="{00000000-0010-0000-0200-000006000000}" uniqueName="ns1:bug" name="bug" dataDxfId="45">
      <calculatedColumnFormula>1/ 500</calculatedColumnFormula>
      <xmlColumnPr mapId="88" xpath="/ns1:buildings/ns1:repetative/ns1:bug" xmlDataType="float"/>
    </tableColumn>
    <tableColumn id="7" xr3:uid="{00000000-0010-0000-0200-000007000000}" uniqueName="ns1:critical" name="critical">
      <xmlColumnPr mapId="88" xpath="/ns1:buildings/ns1:repetative/ns1:critical" xmlDataType="string"/>
    </tableColumn>
    <tableColumn id="9" xr3:uid="{00000000-0010-0000-0200-000009000000}" uniqueName="ns1:bug_fixing_per_second" name="bug fixing per second" dataDxfId="44">
      <xmlColumnPr mapId="88" xpath="/ns1:buildings/ns1:repetative/ns1:bug_fixing_per_second" xmlDataType="float"/>
    </tableColumn>
    <tableColumn id="10" xr3:uid="{00000000-0010-0000-0200-00000A000000}" uniqueName="ns1:effectivity" name="effectivity" dataDxfId="43">
      <calculatedColumnFormula>N2/L2</calculatedColumnFormula>
      <xmlColumnPr mapId="88" xpath="/ns1:buildings/ns1:repetative/ns1:effectivity" xmlDataType="float"/>
    </tableColumn>
    <tableColumn id="11" xr3:uid="{00000000-0010-0000-0200-00000B000000}" uniqueName="ns1:increasing" name="increasing">
      <xmlColumnPr mapId="88" xpath="/ns1:buildings/ns1:repetative/ns1:increasing" xmlDataType="float"/>
    </tableColumn>
    <tableColumn id="12" xr3:uid="{00000000-0010-0000-0200-00000C000000}" uniqueName="ns1:effect_type" name="effect_type">
      <xmlColumnPr mapId="88" xpath="/ns1:buildings/ns1:repetative/ns1:effect_type" xmlDataType="string"/>
    </tableColumn>
    <tableColumn id="13" xr3:uid="{00000000-0010-0000-0200-00000D000000}" uniqueName="ns1:happy" name="maxHappy">
      <xmlColumnPr mapId="88" xpath="/ns1:buildings/ns1:repetative/ns1:happy" xmlDataType="decimal"/>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3000000}" name="Table7" displayName="Table7" ref="A2:F6" tableType="xml" totalsRowShown="0" headerRowDxfId="42">
  <autoFilter ref="A2:F6" xr:uid="{00000000-0009-0000-0100-000007000000}"/>
  <tableColumns count="6">
    <tableColumn id="1" xr3:uid="{00000000-0010-0000-0300-000001000000}" uniqueName="ns1:name" name="name" dataDxfId="41">
      <xmlColumnPr mapId="115" xpath="/ns1:resource/ns1:repetative/ns1:name" xmlDataType="string"/>
    </tableColumn>
    <tableColumn id="2" xr3:uid="{00000000-0010-0000-0300-000002000000}" uniqueName="ns1:description" name="Description" dataDxfId="40">
      <xmlColumnPr mapId="115" xpath="/ns1:resource/ns1:repetative/ns1:description" xmlDataType="string"/>
    </tableColumn>
    <tableColumn id="3" xr3:uid="{00000000-0010-0000-0300-000003000000}" uniqueName="ns1:defaultX" name="Default X">
      <xmlColumnPr mapId="115" xpath="/ns1:resource/ns1:repetative/ns1:defaultX" xmlDataType="float"/>
    </tableColumn>
    <tableColumn id="4" xr3:uid="{00000000-0010-0000-0300-000004000000}" uniqueName="ns1:defaultY" name="Default Y">
      <xmlColumnPr mapId="115" xpath="/ns1:resource/ns1:repetative/ns1:defaultY" xmlDataType="float"/>
    </tableColumn>
    <tableColumn id="5" xr3:uid="{00000000-0010-0000-0300-000005000000}" uniqueName="ns1:maximum_in_territory" name="maximum_in_territory">
      <xmlColumnPr mapId="115" xpath="/ns1:resource/ns1:repetative/ns1:maximum_in_territory" xmlDataType="decimal"/>
    </tableColumn>
    <tableColumn id="6" xr3:uid="{00000000-0010-0000-0300-000006000000}" uniqueName="ns1:growing_percent" name="growing_percent">
      <xmlColumnPr mapId="115" xpath="/ns1:resource/ns1:repetative/ns1:growing_percent" xmlDataType="float"/>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4000000}" name="Таблица12" displayName="Таблица12" ref="H2:L7" tableType="xml" totalsRowShown="0">
  <autoFilter ref="H2:L7" xr:uid="{00000000-0009-0000-0100-00000C000000}"/>
  <tableColumns count="5">
    <tableColumn id="1" xr3:uid="{00000000-0010-0000-0400-000001000000}" uniqueName="ns1:name" name="ns1:name" dataDxfId="39">
      <xmlColumnPr mapId="114" xpath="/ns1:mineralResource/ns1:repetative/ns1:name" xmlDataType="string"/>
    </tableColumn>
    <tableColumn id="2" xr3:uid="{00000000-0010-0000-0400-000002000000}" uniqueName="ns1:description" name="ns1:description" dataDxfId="38">
      <xmlColumnPr mapId="114" xpath="/ns1:mineralResource/ns1:repetative/ns1:description" xmlDataType="string"/>
    </tableColumn>
    <tableColumn id="3" xr3:uid="{00000000-0010-0000-0400-000003000000}" uniqueName="ns1:defaultX" name="ns1:defaultX" dataDxfId="37">
      <xmlColumnPr mapId="114" xpath="/ns1:mineralResource/ns1:repetative/ns1:defaultX" xmlDataType="float"/>
    </tableColumn>
    <tableColumn id="4" xr3:uid="{00000000-0010-0000-0400-000004000000}" uniqueName="ns1:defaultY" name="ns1:defaultY" dataDxfId="36">
      <xmlColumnPr mapId="114" xpath="/ns1:mineralResource/ns1:repetative/ns1:defaultY" xmlDataType="float"/>
    </tableColumn>
    <tableColumn id="5" xr3:uid="{00000000-0010-0000-0400-000005000000}" uniqueName="ns1:maximum_in_territory" name="ns1:maximum_in_territory">
      <xmlColumnPr mapId="114" xpath="/ns1:mineralResource/ns1:repetative/ns1:maximum_in_territory" xmlDataType="decimal"/>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Таблица6" displayName="Таблица6" ref="A1:K28" tableType="xml" totalsRowShown="0">
  <autoFilter ref="A1:K28" xr:uid="{00000000-0009-0000-0100-000006000000}"/>
  <tableColumns count="11">
    <tableColumn id="1" xr3:uid="{00000000-0010-0000-0500-000001000000}" uniqueName="ns1:name" name="name" dataDxfId="35">
      <xmlColumnPr mapId="90" xpath="/ns1:materials/ns1:repetative/ns1:name" xmlDataType="string"/>
    </tableColumn>
    <tableColumn id="11" xr3:uid="{00000000-0010-0000-0500-00000B000000}" uniqueName="ns1:description" name="Description" dataDxfId="34">
      <xmlColumnPr mapId="90" xpath="/ns1:materials/ns1:repetative/ns1:description" xmlDataType="string"/>
    </tableColumn>
    <tableColumn id="10" xr3:uid="{00000000-0010-0000-0500-00000A000000}" uniqueName="ns1:defaultX" name="Default X" dataDxfId="33">
      <xmlColumnPr mapId="90" xpath="/ns1:materials/ns1:repetative/ns1:defaultX" xmlDataType="float"/>
    </tableColumn>
    <tableColumn id="9" xr3:uid="{00000000-0010-0000-0500-000009000000}" uniqueName="ns1:defaultY" name="Default Y" dataDxfId="32">
      <xmlColumnPr mapId="90" xpath="/ns1:materials/ns1:repetative/ns1:defaultY" xmlDataType="float"/>
    </tableColumn>
    <tableColumn id="2" xr3:uid="{00000000-0010-0000-0500-000002000000}" uniqueName="ns1:produce_per_person" name="produce per person" dataDxfId="31">
      <xmlColumnPr mapId="90" xpath="/ns1:materials/ns1:repetative/ns1:produce_per_person" xmlDataType="string"/>
    </tableColumn>
    <tableColumn id="3" xr3:uid="{00000000-0010-0000-0500-000003000000}" uniqueName="ns1:dependency" name="dependency" dataDxfId="30">
      <xmlColumnPr mapId="90" xpath="/ns1:materials/ns1:repetative/ns1:dependency" xmlDataType="string"/>
    </tableColumn>
    <tableColumn id="4" xr3:uid="{00000000-0010-0000-0500-000004000000}" uniqueName="ns1:dependency_cost" name="dependecy cost">
      <xmlColumnPr mapId="90" xpath="/ns1:materials/ns1:repetative/ns1:dependency_cost" xmlDataType="float"/>
    </tableColumn>
    <tableColumn id="5" xr3:uid="{00000000-0010-0000-0500-000005000000}" uniqueName="ns1:final_cost" name="final cost" dataDxfId="29">
      <calculatedColumnFormula>(1+G2 )/M2</calculatedColumnFormula>
      <xmlColumnPr mapId="90" xpath="/ns1:materials/ns1:repetative/ns1:final_cost" xmlDataType="float"/>
    </tableColumn>
    <tableColumn id="6" xr3:uid="{00000000-0010-0000-0500-000006000000}" uniqueName="ns1:container" name="container">
      <xmlColumnPr mapId="90" xpath="/ns1:materials/ns1:repetative/ns1:container" xmlDataType="float"/>
    </tableColumn>
    <tableColumn id="7" xr3:uid="{00000000-0010-0000-0500-000007000000}" uniqueName="ns1:container_type" name="container type" dataDxfId="28">
      <xmlColumnPr mapId="90" xpath="/ns1:materials/ns1:repetative/ns1:container_type" xmlDataType="string"/>
    </tableColumn>
    <tableColumn id="8" xr3:uid="{00000000-0010-0000-0500-000008000000}" uniqueName="ns1:production_type" name="production_type" dataDxfId="27">
      <xmlColumnPr mapId="90" xpath="/ns1:materials/ns1:repetative/ns1:production_type" xmlDataType="string"/>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8" displayName="Table8" ref="A1:L4" tableType="xml" totalsRowShown="0" headerRowDxfId="26">
  <autoFilter ref="A1:L4" xr:uid="{00000000-0009-0000-0100-000008000000}"/>
  <tableColumns count="12">
    <tableColumn id="1" xr3:uid="{00000000-0010-0000-0600-000001000000}" uniqueName="ns1:name" name="name">
      <xmlColumnPr mapId="91" xpath="/ns1:process/ns1:repetative/ns1:name" xmlDataType="string"/>
    </tableColumn>
    <tableColumn id="2" xr3:uid="{00000000-0010-0000-0600-000002000000}" uniqueName="ns1:description" name="Description">
      <xmlColumnPr mapId="91" xpath="/ns1:process/ns1:repetative/ns1:description" xmlDataType="string"/>
    </tableColumn>
    <tableColumn id="3" xr3:uid="{00000000-0010-0000-0600-000003000000}" uniqueName="ns1:defaultX" name="Default X">
      <xmlColumnPr mapId="91" xpath="/ns1:process/ns1:repetative/ns1:defaultX" xmlDataType="float"/>
    </tableColumn>
    <tableColumn id="4" xr3:uid="{00000000-0010-0000-0600-000004000000}" uniqueName="ns1:defaultY" name="Default Y">
      <xmlColumnPr mapId="91" xpath="/ns1:process/ns1:repetative/ns1:defaultY" xmlDataType="float"/>
    </tableColumn>
    <tableColumn id="5" xr3:uid="{00000000-0010-0000-0600-000005000000}" uniqueName="ns1:produce_per_person" name="produce per person">
      <xmlColumnPr mapId="91" xpath="/ns1:process/ns1:repetative/ns1:produce_per_person" xmlDataType="string"/>
    </tableColumn>
    <tableColumn id="6" xr3:uid="{00000000-0010-0000-0600-000006000000}" uniqueName="ns1:dependency" name="dependency" dataDxfId="25">
      <calculatedColumnFormula>Processes!A$4&amp;"*0,1; "&amp; Materials!A19 &amp; "*1"</calculatedColumnFormula>
      <xmlColumnPr mapId="91" xpath="/ns1:process/ns1:repetative/ns1:dependency" xmlDataType="string"/>
    </tableColumn>
    <tableColumn id="7" xr3:uid="{00000000-0010-0000-0600-000007000000}" uniqueName="ns1:dependency_cost" name="dependecy cost" dataDxfId="24">
      <calculatedColumnFormula>0.1*Materials!H16</calculatedColumnFormula>
      <xmlColumnPr mapId="91" xpath="/ns1:process/ns1:repetative/ns1:dependency_cost" xmlDataType="float"/>
    </tableColumn>
    <tableColumn id="8" xr3:uid="{00000000-0010-0000-0600-000008000000}" uniqueName="ns1:final_cost" name="final cost" dataDxfId="23">
      <calculatedColumnFormula>(1+G2 )/E2</calculatedColumnFormula>
      <xmlColumnPr mapId="91" xpath="/ns1:process/ns1:repetative/ns1:final_cost" xmlDataType="float"/>
    </tableColumn>
    <tableColumn id="9" xr3:uid="{00000000-0010-0000-0600-000009000000}" uniqueName="ns1:container" name="container">
      <xmlColumnPr mapId="91" xpath="/ns1:process/ns1:repetative/ns1:container" xmlDataType="float"/>
    </tableColumn>
    <tableColumn id="10" xr3:uid="{00000000-0010-0000-0600-00000A000000}" uniqueName="ns1:container_type" name="container type">
      <calculatedColumnFormula>Effects!A$29</calculatedColumnFormula>
      <xmlColumnPr mapId="91" xpath="/ns1:process/ns1:repetative/ns1:container_type" xmlDataType="string"/>
    </tableColumn>
    <tableColumn id="11" xr3:uid="{00000000-0010-0000-0600-00000B000000}" uniqueName="ns1:production_type" name="production_type">
      <calculatedColumnFormula>Effects!A22</calculatedColumnFormula>
      <xmlColumnPr mapId="91" xpath="/ns1:process/ns1:repetative/ns1:production_type" xmlDataType="string"/>
    </tableColumn>
    <tableColumn id="12" xr3:uid="{00000000-0010-0000-0600-00000C000000}" uniqueName="ns1:duration" name="duration">
      <xmlColumnPr mapId="91" xpath="/ns1:process/ns1:repetative/ns1:duration" xmlDataType="int"/>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7000000}" name="Таблица10" displayName="Таблица10" ref="A1:O8" tableType="xml" totalsRowShown="0">
  <autoFilter ref="A1:O8" xr:uid="{00000000-0009-0000-0100-00000A000000}"/>
  <tableColumns count="15">
    <tableColumn id="1" xr3:uid="{00000000-0010-0000-0700-000001000000}" uniqueName="ns1:name" name="name">
      <xmlColumnPr mapId="119" xpath="/ns1:wildAnimal/ns1:repetative/ns1:name" xmlDataType="string"/>
    </tableColumn>
    <tableColumn id="2" xr3:uid="{00000000-0010-0000-0700-000002000000}" uniqueName="ns1:description" name="description">
      <xmlColumnPr mapId="119" xpath="/ns1:wildAnimal/ns1:repetative/ns1:description" xmlDataType="string"/>
    </tableColumn>
    <tableColumn id="3" xr3:uid="{00000000-0010-0000-0700-000003000000}" uniqueName="ns1:defaultX" name="defaultX">
      <xmlColumnPr mapId="119" xpath="/ns1:wildAnimal/ns1:repetative/ns1:defaultX" xmlDataType="float"/>
    </tableColumn>
    <tableColumn id="4" xr3:uid="{00000000-0010-0000-0700-000004000000}" uniqueName="ns1:defaultY" name="defaultY">
      <xmlColumnPr mapId="119" xpath="/ns1:wildAnimal/ns1:repetative/ns1:defaultY" xmlDataType="float"/>
    </tableColumn>
    <tableColumn id="5" xr3:uid="{00000000-0010-0000-0700-000005000000}" uniqueName="ns1:maximum_in_territory" name="maximum_in_territory">
      <xmlColumnPr mapId="119" xpath="/ns1:wildAnimal/ns1:repetative/ns1:maximum_in_territory" xmlDataType="decimal"/>
    </tableColumn>
    <tableColumn id="6" xr3:uid="{00000000-0010-0000-0700-000006000000}" uniqueName="ns1:growing_percent" name="growing_percent">
      <xmlColumnPr mapId="119" xpath="/ns1:wildAnimal/ns1:repetative/ns1:growing_percent" xmlDataType="float"/>
    </tableColumn>
    <tableColumn id="7" xr3:uid="{00000000-0010-0000-0700-000007000000}" uniqueName="ns1:butchering_per_person" name="butchering_per_person" dataDxfId="22">
      <calculatedColumnFormula>Materials!A$4 &amp; "*" &amp; 4 &amp;"; " &amp;Materials!A$7 &amp; "*4"&amp;"; " &amp;Materials!A$8 &amp; "*4"</calculatedColumnFormula>
      <xmlColumnPr mapId="119" xpath="/ns1:wildAnimal/ns1:repetative/ns1:butchering_per_person" xmlDataType="string"/>
    </tableColumn>
    <tableColumn id="8" xr3:uid="{00000000-0010-0000-0700-000008000000}" uniqueName="ns1:attack" name="attack">
      <xmlColumnPr mapId="119" xpath="/ns1:wildAnimal/ns1:repetative/ns1:attack" xmlDataType="float"/>
    </tableColumn>
    <tableColumn id="9" xr3:uid="{00000000-0010-0000-0700-000009000000}" uniqueName="ns1:protection" name="protection">
      <xmlColumnPr mapId="119" xpath="/ns1:wildAnimal/ns1:repetative/ns1:protection" xmlDataType="float"/>
    </tableColumn>
    <tableColumn id="10" xr3:uid="{00000000-0010-0000-0700-00000A000000}" uniqueName="ns1:speed" name="speed">
      <xmlColumnPr mapId="119" xpath="/ns1:wildAnimal/ns1:repetative/ns1:speed" xmlDataType="float"/>
    </tableColumn>
    <tableColumn id="11" xr3:uid="{00000000-0010-0000-0700-00000B000000}" uniqueName="ns1:scary" name="scary">
      <xmlColumnPr mapId="119" xpath="/ns1:wildAnimal/ns1:repetative/ns1:scary" xmlDataType="float"/>
    </tableColumn>
    <tableColumn id="12" xr3:uid="{00000000-0010-0000-0700-00000C000000}" uniqueName="ns1:minimal_in_squadre" name="minimum_in_squadre">
      <xmlColumnPr mapId="119" xpath="/ns1:wildAnimal/ns1:repetative/ns1:minimal_in_squadre" xmlDataType="decimal"/>
    </tableColumn>
    <tableColumn id="13" xr3:uid="{00000000-0010-0000-0700-00000D000000}" uniqueName="ns1:maximum_in_squadre" name="maximum_in_squadre">
      <xmlColumnPr mapId="119" xpath="/ns1:wildAnimal/ns1:repetative/ns1:maximum_in_squadre" xmlDataType="decimal"/>
    </tableColumn>
    <tableColumn id="14" xr3:uid="{00000000-0010-0000-0700-00000E000000}" uniqueName="ns1:tamed_to" name="ns1:tamed_to">
      <xmlColumnPr mapId="119" xpath="/ns1:wildAnimal/ns1:repetative/ns1:tamed_to" xmlDataType="string"/>
    </tableColumn>
    <tableColumn id="15" xr3:uid="{00000000-0010-0000-0700-00000F000000}" uniqueName="ns1:chance_to_tame" name="ns1:chance_to_tame">
      <xmlColumnPr mapId="119" xpath="/ns1:wildAnimal/ns1:repetative/ns1:chance_to_tame" xmlDataType="float"/>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Таблица11" displayName="Таблица11" ref="A1:K7" tableType="xml" totalsRowShown="0">
  <autoFilter ref="A1:K7" xr:uid="{00000000-0009-0000-0100-00000B000000}"/>
  <tableColumns count="11">
    <tableColumn id="1" xr3:uid="{00000000-0010-0000-0800-000001000000}" uniqueName="ns1:name" name="name" dataDxfId="21">
      <xmlColumnPr mapId="105" xpath="/ns1:domesticAnimal/ns1:repetative/ns1:name" xmlDataType="string"/>
    </tableColumn>
    <tableColumn id="2" xr3:uid="{00000000-0010-0000-0800-000002000000}" uniqueName="ns1:description" name="description" dataDxfId="20">
      <xmlColumnPr mapId="105" xpath="/ns1:domesticAnimal/ns1:repetative/ns1:description" xmlDataType="string"/>
    </tableColumn>
    <tableColumn id="3" xr3:uid="{00000000-0010-0000-0800-000003000000}" uniqueName="ns1:defaultX" name="defaultX">
      <xmlColumnPr mapId="105" xpath="/ns1:domesticAnimal/ns1:repetative/ns1:defaultX" xmlDataType="float"/>
    </tableColumn>
    <tableColumn id="4" xr3:uid="{00000000-0010-0000-0800-000004000000}" uniqueName="ns1:defaultY" name="defaultY">
      <xmlColumnPr mapId="105" xpath="/ns1:domesticAnimal/ns1:repetative/ns1:defaultY" xmlDataType="float"/>
    </tableColumn>
    <tableColumn id="5" xr3:uid="{00000000-0010-0000-0800-000005000000}" uniqueName="ns1:maximum_in_territory" name="maximum_in_territory">
      <xmlColumnPr mapId="105" xpath="/ns1:domesticAnimal/ns1:repetative/ns1:maximum_in_territory" xmlDataType="decimal"/>
    </tableColumn>
    <tableColumn id="6" xr3:uid="{00000000-0010-0000-0800-000006000000}" uniqueName="ns1:growing_percent" name="growing_percent">
      <xmlColumnPr mapId="105" xpath="/ns1:domesticAnimal/ns1:repetative/ns1:growing_percent" xmlDataType="float"/>
    </tableColumn>
    <tableColumn id="7" xr3:uid="{00000000-0010-0000-0800-000007000000}" uniqueName="ns1:butchering_per_person" name="butchering_per_person" dataDxfId="19">
      <calculatedColumnFormula>Materials!A$4 &amp; "*" &amp; 6 &amp;"; " &amp;Materials!A$7 &amp; "*6"&amp;"; " &amp;Materials!A$8 &amp; "*4"</calculatedColumnFormula>
      <xmlColumnPr mapId="105" xpath="/ns1:domesticAnimal/ns1:repetative/ns1:butchering_per_person" xmlDataType="string"/>
    </tableColumn>
    <tableColumn id="8" xr3:uid="{00000000-0010-0000-0800-000008000000}" uniqueName="ns1:foodType" name="foodType" dataDxfId="18">
      <calculatedColumnFormula>Materials!A23 &amp; "*1"</calculatedColumnFormula>
      <xmlColumnPr mapId="105" xpath="/ns1:domesticAnimal/ns1:repetative/ns1:foodType" xmlDataType="string"/>
    </tableColumn>
    <tableColumn id="9" xr3:uid="{00000000-0010-0000-0800-000009000000}" uniqueName="ns1:storageType" name="storageType">
      <xmlColumnPr mapId="105" xpath="/ns1:domesticAnimal/ns1:repetative/ns1:storageType" xmlDataType="string"/>
    </tableColumn>
    <tableColumn id="10" xr3:uid="{00000000-0010-0000-0800-00000A000000}" uniqueName="ns1:additionalProducts" name="additionalProducts">
      <xmlColumnPr mapId="105" xpath="/ns1:domesticAnimal/ns1:repetative/ns1:additionalProducts" xmlDataType="string"/>
    </tableColumn>
    <tableColumn id="11" xr3:uid="{00000000-0010-0000-0800-00000B000000}" uniqueName="ns1:produce_per_person" name="produce_per_person">
      <xmlColumnPr mapId="105" xpath="/ns1:domesticAnimal/ns1:repetative/ns1:produce_per_person" xmlDataType="string"/>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Таблица13" displayName="Таблица13" ref="A1:M2" tableType="xml" totalsRowShown="0">
  <autoFilter ref="A1:M2" xr:uid="{00000000-0009-0000-0100-00000D000000}"/>
  <tableColumns count="13">
    <tableColumn id="1" xr3:uid="{00000000-0010-0000-0900-000001000000}" uniqueName="ns1:name" name="ns1:name" dataDxfId="17">
      <xmlColumnPr mapId="120" xpath="/ns1:traps/ns1:repetative/ns1:name" xmlDataType="string"/>
    </tableColumn>
    <tableColumn id="2" xr3:uid="{00000000-0010-0000-0900-000002000000}" uniqueName="ns1:description" name="ns1:description" dataDxfId="16">
      <xmlColumnPr mapId="120" xpath="/ns1:traps/ns1:repetative/ns1:description" xmlDataType="string"/>
    </tableColumn>
    <tableColumn id="3" xr3:uid="{00000000-0010-0000-0900-000003000000}" uniqueName="ns1:defaultX" name="ns1:defaultX" dataDxfId="15">
      <xmlColumnPr mapId="120" xpath="/ns1:traps/ns1:repetative/ns1:defaultX" xmlDataType="float"/>
    </tableColumn>
    <tableColumn id="4" xr3:uid="{00000000-0010-0000-0900-000004000000}" uniqueName="ns1:defaultY" name="ns1:defaultY" dataDxfId="14">
      <xmlColumnPr mapId="120" xpath="/ns1:traps/ns1:repetative/ns1:defaultY" xmlDataType="float"/>
    </tableColumn>
    <tableColumn id="5" xr3:uid="{00000000-0010-0000-0900-000005000000}" uniqueName="ns1:produce_per_person" name="ns1:produce_per_person" dataDxfId="13">
      <calculatedColumnFormula>O2</calculatedColumnFormula>
      <xmlColumnPr mapId="120" xpath="/ns1:traps/ns1:repetative/ns1:produce_per_person" xmlDataType="string"/>
    </tableColumn>
    <tableColumn id="6" xr3:uid="{00000000-0010-0000-0900-000006000000}" uniqueName="ns1:dependency" name="ns1:dependency" dataDxfId="12">
      <calculatedColumnFormula>Materials!A25 &amp; "*2"</calculatedColumnFormula>
      <xmlColumnPr mapId="120" xpath="/ns1:traps/ns1:repetative/ns1:dependency" xmlDataType="string"/>
    </tableColumn>
    <tableColumn id="7" xr3:uid="{00000000-0010-0000-0900-000007000000}" uniqueName="ns1:dependency_cost" name="ns1:dependency_cost">
      <calculatedColumnFormula>2*Materials!H25</calculatedColumnFormula>
      <xmlColumnPr mapId="120" xpath="/ns1:traps/ns1:repetative/ns1:dependency_cost" xmlDataType="float"/>
    </tableColumn>
    <tableColumn id="8" xr3:uid="{00000000-0010-0000-0900-000008000000}" uniqueName="ns1:final_cost" name="ns1:final_cost" dataDxfId="11">
      <calculatedColumnFormula>(1+G2 )/O2</calculatedColumnFormula>
      <xmlColumnPr mapId="120" xpath="/ns1:traps/ns1:repetative/ns1:final_cost" xmlDataType="float"/>
    </tableColumn>
    <tableColumn id="9" xr3:uid="{00000000-0010-0000-0900-000009000000}" uniqueName="ns1:container" name="ns1:container">
      <xmlColumnPr mapId="120" xpath="/ns1:traps/ns1:repetative/ns1:container" xmlDataType="float"/>
    </tableColumn>
    <tableColumn id="10" xr3:uid="{00000000-0010-0000-0900-00000A000000}" uniqueName="ns1:container_type" name="ns1:container_type" dataDxfId="10">
      <xmlColumnPr mapId="120" xpath="/ns1:traps/ns1:repetative/ns1:container_type" xmlDataType="string"/>
    </tableColumn>
    <tableColumn id="11" xr3:uid="{00000000-0010-0000-0900-00000B000000}" uniqueName="ns1:production_type" name="ns1:production_type" dataDxfId="9">
      <calculatedColumnFormula>Effects!A$6</calculatedColumnFormula>
      <xmlColumnPr mapId="120" xpath="/ns1:traps/ns1:repetative/ns1:production_type" xmlDataType="string"/>
    </tableColumn>
    <tableColumn id="12" xr3:uid="{00000000-0010-0000-0900-00000C000000}" uniqueName="ns1:trap_type" name="ns1:trap_type" dataDxfId="8">
      <calculatedColumnFormula>Effects!A31</calculatedColumnFormula>
      <xmlColumnPr mapId="120" xpath="/ns1:traps/ns1:repetative/ns1:trap_type" xmlDataType="string"/>
    </tableColumn>
    <tableColumn id="13" xr3:uid="{00000000-0010-0000-0900-00000D000000}" uniqueName="ns1:chance_to_kill" name="ns1:chance_to_kill">
      <xmlColumnPr mapId="120" xpath="/ns1:traps/ns1:repetative/ns1:chance_to_kill" xmlDataType="string"/>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A000000}" name="Table9" displayName="Table9" ref="A1:B31" tableType="xml" totalsRowShown="0">
  <autoFilter ref="A1:B31" xr:uid="{00000000-0009-0000-0100-000009000000}"/>
  <tableColumns count="2">
    <tableColumn id="1" xr3:uid="{00000000-0010-0000-0A00-000001000000}" uniqueName="ns1:name" name="Effects">
      <xmlColumnPr mapId="95" xpath="/ns1:effect/ns1:repetative/ns1:name" xmlDataType="string"/>
    </tableColumn>
    <tableColumn id="2" xr3:uid="{00000000-0010-0000-0A00-000002000000}" uniqueName="ns1:type" name="Effects type">
      <xmlColumnPr mapId="95" xpath="/ns1:effect/ns1:repetative/ns1:type" xmlDataType="string"/>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B000000}" name="Таблица3" displayName="Таблица3" ref="A1:P3" tableType="xml" totalsRowShown="0">
  <autoFilter ref="A1:P3" xr:uid="{00000000-0009-0000-0100-000003000000}"/>
  <tableColumns count="16">
    <tableColumn id="1" xr3:uid="{00000000-0010-0000-0B00-000001000000}" uniqueName="ns1:name" name="name">
      <xmlColumnPr mapId="94" xpath="/ns1:army/ns1:repetative/ns1:name" xmlDataType="string"/>
    </tableColumn>
    <tableColumn id="16" xr3:uid="{00000000-0010-0000-0B00-000010000000}" uniqueName="ns1:description" name="Description" dataDxfId="7">
      <xmlColumnPr mapId="94" xpath="/ns1:army/ns1:repetative/ns1:description" xmlDataType="string"/>
    </tableColumn>
    <tableColumn id="15" xr3:uid="{00000000-0010-0000-0B00-00000F000000}" uniqueName="ns1:defaultX" name="Default X" dataDxfId="6">
      <xmlColumnPr mapId="94" xpath="/ns1:army/ns1:repetative/ns1:defaultX" xmlDataType="float"/>
    </tableColumn>
    <tableColumn id="14" xr3:uid="{00000000-0010-0000-0B00-00000E000000}" uniqueName="ns1:defaultY" name="Default Y" dataDxfId="5">
      <xmlColumnPr mapId="94" xpath="/ns1:army/ns1:repetative/ns1:defaultY" xmlDataType="float"/>
    </tableColumn>
    <tableColumn id="2" xr3:uid="{00000000-0010-0000-0B00-000002000000}" uniqueName="ns1:produce_per_person" name="produce per person" dataDxfId="4">
      <xmlColumnPr mapId="94" xpath="/ns1:army/ns1:repetative/ns1:produce_per_person" xmlDataType="string"/>
    </tableColumn>
    <tableColumn id="3" xr3:uid="{00000000-0010-0000-0B00-000003000000}" uniqueName="ns1:dependency" name="dependency" dataDxfId="3">
      <calculatedColumnFormula>Items!A6 &amp; "; " &amp; Items!A7 &amp; "; " &amp; Items!A16</calculatedColumnFormula>
      <xmlColumnPr mapId="94" xpath="/ns1:army/ns1:repetative/ns1:dependency" xmlDataType="string"/>
    </tableColumn>
    <tableColumn id="4" xr3:uid="{00000000-0010-0000-0B00-000004000000}" uniqueName="ns1:dependency_cost" name="dependecy cost">
      <calculatedColumnFormula>Items!H16</calculatedColumnFormula>
      <xmlColumnPr mapId="94" xpath="/ns1:army/ns1:repetative/ns1:dependency_cost" xmlDataType="float"/>
    </tableColumn>
    <tableColumn id="5" xr3:uid="{00000000-0010-0000-0B00-000005000000}" uniqueName="ns1:final_cost" name="final cost" dataDxfId="2">
      <calculatedColumnFormula>(1+G2 )/E2</calculatedColumnFormula>
      <xmlColumnPr mapId="94" xpath="/ns1:army/ns1:repetative/ns1:final_cost" xmlDataType="float"/>
    </tableColumn>
    <tableColumn id="11" xr3:uid="{00000000-0010-0000-0B00-00000B000000}" uniqueName="ns1:container" name="people">
      <xmlColumnPr mapId="94" xpath="/ns1:army/ns1:repetative/ns1:container" xmlDataType="float"/>
    </tableColumn>
    <tableColumn id="13" xr3:uid="{00000000-0010-0000-0B00-00000D000000}" uniqueName="ns1:container_type" name="conatiner_type">
      <xmlColumnPr mapId="94" xpath="/ns1:army/ns1:repetative/ns1:container_type" xmlDataType="string"/>
    </tableColumn>
    <tableColumn id="12" xr3:uid="{00000000-0010-0000-0B00-00000C000000}" uniqueName="ns1:production_type" name="production_type" dataDxfId="1">
      <xmlColumnPr mapId="94" xpath="/ns1:army/ns1:repetative/ns1:production_type" xmlDataType="string"/>
    </tableColumn>
    <tableColumn id="6" xr3:uid="{00000000-0010-0000-0B00-000006000000}" uniqueName="ns1:attack" name="attack">
      <xmlColumnPr mapId="94" xpath="/ns1:army/ns1:repetative/ns1:attack" xmlDataType="decimal"/>
    </tableColumn>
    <tableColumn id="7" xr3:uid="{00000000-0010-0000-0B00-000007000000}" uniqueName="ns1:protection" name="protection">
      <xmlColumnPr mapId="94" xpath="/ns1:army/ns1:repetative/ns1:protection" xmlDataType="decimal"/>
    </tableColumn>
    <tableColumn id="8" xr3:uid="{00000000-0010-0000-0B00-000008000000}" uniqueName="ns1:hits" name="hits">
      <xmlColumnPr mapId="94" xpath="/ns1:army/ns1:repetative/ns1:hits" xmlDataType="decimal"/>
    </tableColumn>
    <tableColumn id="9" xr3:uid="{00000000-0010-0000-0B00-000009000000}" uniqueName="ns1:distance" name="distance">
      <xmlColumnPr mapId="94" xpath="/ns1:army/ns1:repetative/ns1:distance" xmlDataType="decimal"/>
    </tableColumn>
    <tableColumn id="10" xr3:uid="{00000000-0010-0000-0B00-00000A000000}" uniqueName="ns1:speed_per_second" name="speed per second">
      <xmlColumnPr mapId="94" xpath="/ns1:army/ns1:repetative/ns1:speed_per_second" xmlDataType="float"/>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C000000}" name="Celebrations" displayName="Celebrations" ref="A1:D5" tableType="xml" totalsRowShown="0">
  <autoFilter ref="A1:D5" xr:uid="{00000000-0009-0000-0100-000001000000}"/>
  <tableColumns count="4">
    <tableColumn id="1" xr3:uid="{00000000-0010-0000-0C00-000001000000}" uniqueName="instrument" name="instrument">
      <calculatedColumnFormula>Items!A9</calculatedColumnFormula>
      <xmlColumnPr mapId="26" xpath="/celebrations/repetative/instrument" xmlDataType="string"/>
    </tableColumn>
    <tableColumn id="2" xr3:uid="{00000000-0010-0000-0C00-000002000000}" uniqueName="musicants" name="musicants">
      <xmlColumnPr mapId="26" xpath="/celebrations/repetative/musicants" xmlDataType="decimal"/>
    </tableColumn>
    <tableColumn id="3" xr3:uid="{00000000-0010-0000-0C00-000003000000}" uniqueName="persons" name="persons">
      <xmlColumnPr mapId="26" xpath="/celebrations/repetative/persons" xmlDataType="decimal"/>
    </tableColumn>
    <tableColumn id="4" xr3:uid="{00000000-0010-0000-0C00-000004000000}" uniqueName="happiness" name="happiness">
      <xmlColumnPr mapId="26" xpath="/celebrations/repetative/happiness" xmlDataType="decimal"/>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Q23"/>
  <sheetViews>
    <sheetView workbookViewId="0">
      <selection activeCell="F6" sqref="F6"/>
    </sheetView>
  </sheetViews>
  <sheetFormatPr defaultRowHeight="15" x14ac:dyDescent="0.25"/>
  <cols>
    <col min="1" max="2" width="15.28515625" customWidth="1"/>
    <col min="3" max="3" width="11.7109375" customWidth="1"/>
    <col min="4" max="4" width="13" customWidth="1"/>
    <col min="5" max="5" width="22.5703125" customWidth="1"/>
    <col min="6" max="6" width="23.85546875" customWidth="1"/>
    <col min="7" max="7" width="17" customWidth="1"/>
    <col min="8" max="8" width="13.28515625" customWidth="1"/>
    <col min="9" max="9" width="12.28515625" customWidth="1"/>
    <col min="10" max="10" width="16.5703125" bestFit="1" customWidth="1"/>
    <col min="11" max="11" width="18.140625" bestFit="1" customWidth="1"/>
    <col min="12" max="12" width="12.140625" customWidth="1"/>
    <col min="13" max="13" width="9.85546875" bestFit="1" customWidth="1"/>
    <col min="14" max="14" width="22" customWidth="1"/>
    <col min="15" max="15" width="12.28515625" customWidth="1"/>
    <col min="16" max="16" width="13.28515625" customWidth="1"/>
    <col min="17" max="17" width="29.5703125" customWidth="1"/>
    <col min="19" max="19" width="16.5703125" customWidth="1"/>
    <col min="20" max="20" width="20" customWidth="1"/>
  </cols>
  <sheetData>
    <row r="1" spans="1:17" x14ac:dyDescent="0.25">
      <c r="A1" t="s">
        <v>0</v>
      </c>
      <c r="B1" t="s">
        <v>98</v>
      </c>
      <c r="C1" t="s">
        <v>96</v>
      </c>
      <c r="D1" t="s">
        <v>97</v>
      </c>
      <c r="E1" t="s">
        <v>71</v>
      </c>
      <c r="F1" t="s">
        <v>1</v>
      </c>
      <c r="G1" t="s">
        <v>2</v>
      </c>
      <c r="H1" t="s">
        <v>3</v>
      </c>
      <c r="I1" t="s">
        <v>25</v>
      </c>
      <c r="J1" t="s">
        <v>57</v>
      </c>
      <c r="K1" t="s">
        <v>64</v>
      </c>
      <c r="L1" t="s">
        <v>8</v>
      </c>
      <c r="M1" t="s">
        <v>9</v>
      </c>
      <c r="N1" t="s">
        <v>16</v>
      </c>
      <c r="O1" t="s">
        <v>19</v>
      </c>
      <c r="P1" t="s">
        <v>74</v>
      </c>
      <c r="Q1" t="s">
        <v>59</v>
      </c>
    </row>
    <row r="2" spans="1:17" ht="18.75" customHeight="1" x14ac:dyDescent="0.25">
      <c r="A2" s="5" t="s">
        <v>7</v>
      </c>
      <c r="B2" s="5" t="s">
        <v>7</v>
      </c>
      <c r="C2" s="1">
        <f>Coordinats!A7</f>
        <v>6.1999999999999993</v>
      </c>
      <c r="D2" s="1">
        <f>Coordinats!B8</f>
        <v>12.5</v>
      </c>
      <c r="E2" s="1">
        <f>1</f>
        <v>1</v>
      </c>
      <c r="F2" s="1" t="str">
        <f>Materials!A9&amp;"; "&amp;Materials!A11</f>
        <v>stone; stick</v>
      </c>
      <c r="G2" s="1">
        <f>Materials!H9 +Materials!H11</f>
        <v>2</v>
      </c>
      <c r="H2">
        <f>(1+G2 )/E2</f>
        <v>3</v>
      </c>
      <c r="I2">
        <v>1</v>
      </c>
      <c r="J2" s="1" t="str">
        <f>Effects!A$27</f>
        <v>light_storage</v>
      </c>
      <c r="K2" s="1" t="str">
        <f>Effects!A8</f>
        <v>masonry</v>
      </c>
      <c r="L2" s="2">
        <f>1/ 50</f>
        <v>0.02</v>
      </c>
      <c r="M2" s="5" t="s">
        <v>10</v>
      </c>
      <c r="N2" s="11">
        <v>1</v>
      </c>
      <c r="O2" s="1">
        <f t="shared" ref="O2:O18" si="0">N2/L2</f>
        <v>50</v>
      </c>
      <c r="P2" s="12">
        <f>0.25</f>
        <v>0.25</v>
      </c>
      <c r="Q2" s="1" t="str">
        <f>Effects!A7 &amp; "*0,5; " &amp; Effects!A9 &amp; "*0,25; " &amp; Effects!A14 &amp; " *0,25;" &amp; Effects!A11 &amp; "*0,7;" &amp; Effects!A4 &amp; "*1,0"</f>
        <v>log_cutting*0,5; carpentry*0,25; building *0,25;attack*0,7;hunt*1,0</v>
      </c>
    </row>
    <row r="3" spans="1:17" x14ac:dyDescent="0.25">
      <c r="A3" s="5" t="s">
        <v>50</v>
      </c>
      <c r="B3" s="5" t="s">
        <v>50</v>
      </c>
      <c r="C3" s="1">
        <f>Coordinats!A4</f>
        <v>-14.8</v>
      </c>
      <c r="D3" s="1">
        <f>Coordinats!B9</f>
        <v>19</v>
      </c>
      <c r="E3" s="1">
        <f>0.5</f>
        <v>0.5</v>
      </c>
      <c r="F3" s="1" t="str">
        <f>Materials!A11&amp;"; "&amp;Materials!A9</f>
        <v>stick; stone</v>
      </c>
      <c r="G3" s="1">
        <f>Materials!H11 +Materials!H9</f>
        <v>2</v>
      </c>
      <c r="H3">
        <f t="shared" ref="H3:H18" si="1">(1+G3 )/E3</f>
        <v>6</v>
      </c>
      <c r="I3">
        <v>1</v>
      </c>
      <c r="J3" s="1" t="str">
        <f>Effects!A$27</f>
        <v>light_storage</v>
      </c>
      <c r="K3" s="1" t="str">
        <f>Effects!A$8</f>
        <v>masonry</v>
      </c>
      <c r="L3" s="2">
        <f>1/ 50</f>
        <v>0.02</v>
      </c>
      <c r="M3" s="5" t="s">
        <v>10</v>
      </c>
      <c r="N3" s="11">
        <v>1</v>
      </c>
      <c r="O3" s="1">
        <f t="shared" si="0"/>
        <v>50</v>
      </c>
      <c r="P3" s="12">
        <f>0.5</f>
        <v>0.5</v>
      </c>
      <c r="Q3" s="1" t="str">
        <f xml:space="preserve"> Effects!A14 &amp; "*0,5; "&amp; Effects!A8 &amp; " *0,25"</f>
        <v>building*0,5; masonry *0,25</v>
      </c>
    </row>
    <row r="4" spans="1:17" s="5" customFormat="1" x14ac:dyDescent="0.25">
      <c r="A4" s="5" t="s">
        <v>88</v>
      </c>
      <c r="B4" s="5" t="s">
        <v>88</v>
      </c>
      <c r="C4" s="1">
        <f>Coordinats!A5</f>
        <v>-7.8000000000000007</v>
      </c>
      <c r="D4" s="1">
        <f>Coordinats!B8</f>
        <v>12.5</v>
      </c>
      <c r="E4" s="1">
        <v>1</v>
      </c>
      <c r="F4" s="1" t="str">
        <f>Materials!A11&amp;"; "&amp;Materials!A9</f>
        <v>stick; stone</v>
      </c>
      <c r="G4" s="1">
        <f>Materials!H11 +Materials!H9</f>
        <v>2</v>
      </c>
      <c r="H4">
        <f t="shared" si="1"/>
        <v>3</v>
      </c>
      <c r="I4">
        <v>1</v>
      </c>
      <c r="J4" s="1" t="str">
        <f>Effects!A$27</f>
        <v>light_storage</v>
      </c>
      <c r="K4" s="1" t="str">
        <f>Effects!A$8</f>
        <v>masonry</v>
      </c>
      <c r="L4" s="2">
        <f>1/ 50</f>
        <v>0.02</v>
      </c>
      <c r="M4" s="5" t="s">
        <v>10</v>
      </c>
      <c r="N4" s="11">
        <v>1</v>
      </c>
      <c r="O4" s="1">
        <f t="shared" si="0"/>
        <v>50</v>
      </c>
      <c r="P4" s="12">
        <f>0.25</f>
        <v>0.25</v>
      </c>
      <c r="Q4" s="1" t="str">
        <f>Effects!A9 &amp; "*0,25; " &amp; Effects!A5 &amp; "*0,25;"&amp; Effects!A10 &amp; "*0,25"</f>
        <v>carpentry*0,25; butchering*0,25;bone_carving*0,25</v>
      </c>
    </row>
    <row r="5" spans="1:17" x14ac:dyDescent="0.25">
      <c r="A5" s="5" t="s">
        <v>78</v>
      </c>
      <c r="B5" s="5" t="s">
        <v>78</v>
      </c>
      <c r="C5" s="1">
        <f>Coordinats!A4</f>
        <v>-14.8</v>
      </c>
      <c r="D5" s="1">
        <f>Coordinats!B5</f>
        <v>-7</v>
      </c>
      <c r="E5" s="1">
        <f>1</f>
        <v>1</v>
      </c>
      <c r="F5" s="1" t="str">
        <f>Materials!A10 &amp; "*10"</f>
        <v>rods*10</v>
      </c>
      <c r="G5" s="1">
        <f>10*Materials!H10</f>
        <v>2</v>
      </c>
      <c r="H5">
        <f t="shared" si="1"/>
        <v>3</v>
      </c>
      <c r="I5">
        <v>1</v>
      </c>
      <c r="J5" s="1" t="s">
        <v>77</v>
      </c>
      <c r="K5" s="1" t="str">
        <f>Effects!A$9</f>
        <v>carpentry</v>
      </c>
      <c r="L5" s="2">
        <f>1/ 50</f>
        <v>0.02</v>
      </c>
      <c r="M5" s="5" t="s">
        <v>10</v>
      </c>
      <c r="N5" s="11">
        <v>1</v>
      </c>
      <c r="O5" s="1">
        <f t="shared" si="0"/>
        <v>50</v>
      </c>
      <c r="P5" s="12">
        <f>10</f>
        <v>10</v>
      </c>
      <c r="Q5" s="1" t="str">
        <f>Effects!A27 &amp;"*10; " &amp;Effects!A3 &amp;"*0,1"</f>
        <v>light_storage*10; harvesting*0,1</v>
      </c>
    </row>
    <row r="6" spans="1:17" x14ac:dyDescent="0.25">
      <c r="A6" s="5" t="s">
        <v>14</v>
      </c>
      <c r="B6" s="5" t="s">
        <v>14</v>
      </c>
      <c r="C6" s="1">
        <f>Coordinats!$A$6</f>
        <v>-0.80000000000000071</v>
      </c>
      <c r="D6" s="1">
        <f>Coordinats!$B$9</f>
        <v>19</v>
      </c>
      <c r="E6" s="1">
        <f>0.5</f>
        <v>0.5</v>
      </c>
      <c r="F6" s="1" t="str">
        <f>Materials!A11 &amp;"; " &amp;Materials!A9</f>
        <v>stick; stone</v>
      </c>
      <c r="G6" s="1">
        <f>Materials!H9 +Materials!H11</f>
        <v>2</v>
      </c>
      <c r="H6">
        <f t="shared" si="1"/>
        <v>6</v>
      </c>
      <c r="I6">
        <v>2</v>
      </c>
      <c r="J6" s="1" t="str">
        <f>Effects!A$27</f>
        <v>light_storage</v>
      </c>
      <c r="K6" s="1" t="str">
        <f>Effects!A$8</f>
        <v>masonry</v>
      </c>
      <c r="L6" s="2">
        <f>1/ 50</f>
        <v>0.02</v>
      </c>
      <c r="M6" s="5" t="s">
        <v>10</v>
      </c>
      <c r="N6" s="11">
        <v>1</v>
      </c>
      <c r="O6" s="1">
        <f t="shared" si="0"/>
        <v>50</v>
      </c>
      <c r="P6" s="12">
        <f>0.3333</f>
        <v>0.33329999999999999</v>
      </c>
      <c r="Q6" s="1" t="str">
        <f>Effects!A$13 &amp; "*2; " &amp;Effects!A11 &amp; "*1,2;" &amp; Effects!A4 &amp; "*2,5"</f>
        <v>attack_distance*2; attack*1,2;hunt*2,5</v>
      </c>
    </row>
    <row r="7" spans="1:17" x14ac:dyDescent="0.25">
      <c r="A7" s="5" t="s">
        <v>31</v>
      </c>
      <c r="B7" s="5" t="s">
        <v>31</v>
      </c>
      <c r="C7" s="1">
        <v>1</v>
      </c>
      <c r="D7" s="1">
        <v>1</v>
      </c>
      <c r="E7" s="1">
        <f>0.5</f>
        <v>0.5</v>
      </c>
      <c r="F7" s="1" t="str">
        <f>Materials!A10 &amp; "*10"</f>
        <v>rods*10</v>
      </c>
      <c r="G7" s="1">
        <f>10*Materials!H10</f>
        <v>2</v>
      </c>
      <c r="H7">
        <f t="shared" si="1"/>
        <v>6</v>
      </c>
      <c r="I7">
        <v>2</v>
      </c>
      <c r="J7" s="1" t="str">
        <f>Effects!A$27</f>
        <v>light_storage</v>
      </c>
      <c r="K7" s="1" t="str">
        <f>Effects!A$9</f>
        <v>carpentry</v>
      </c>
      <c r="L7" s="2">
        <f>1/ 20</f>
        <v>0.05</v>
      </c>
      <c r="M7" s="5" t="s">
        <v>15</v>
      </c>
      <c r="N7" s="11">
        <v>2.5</v>
      </c>
      <c r="O7" s="1">
        <f t="shared" si="0"/>
        <v>50</v>
      </c>
      <c r="P7" s="12">
        <f>5</f>
        <v>5</v>
      </c>
      <c r="Q7" s="1" t="str">
        <f>Effects!A$12 &amp; "*5"</f>
        <v>protection*5</v>
      </c>
    </row>
    <row r="8" spans="1:17" x14ac:dyDescent="0.25">
      <c r="A8" s="5" t="s">
        <v>21</v>
      </c>
      <c r="B8" s="5" t="s">
        <v>21</v>
      </c>
      <c r="C8" s="1">
        <f>Coordinats!A9</f>
        <v>20.2</v>
      </c>
      <c r="D8" s="1">
        <f>Coordinats!B4</f>
        <v>-13.5</v>
      </c>
      <c r="E8" s="1">
        <f>1</f>
        <v>1</v>
      </c>
      <c r="F8" s="1" t="str">
        <f>Materials!A7</f>
        <v>bone</v>
      </c>
      <c r="G8" s="1">
        <f>Materials!H7</f>
        <v>0.2</v>
      </c>
      <c r="H8">
        <f t="shared" si="1"/>
        <v>1.2</v>
      </c>
      <c r="I8">
        <v>1</v>
      </c>
      <c r="J8" s="1" t="str">
        <f>Effects!A$27</f>
        <v>light_storage</v>
      </c>
      <c r="K8" s="1" t="str">
        <f>Effects!A$10</f>
        <v>bone_carving</v>
      </c>
      <c r="L8" s="2">
        <f>1/ 50</f>
        <v>0.02</v>
      </c>
      <c r="M8" s="5" t="s">
        <v>10</v>
      </c>
      <c r="N8" s="11">
        <v>2</v>
      </c>
      <c r="O8" s="1">
        <f t="shared" si="0"/>
        <v>100</v>
      </c>
      <c r="P8" s="12">
        <f>0.5</f>
        <v>0.5</v>
      </c>
      <c r="Q8" s="1" t="str">
        <f>Effects!A6 &amp; "*0,5"</f>
        <v>sewing*0,5</v>
      </c>
    </row>
    <row r="9" spans="1:17" x14ac:dyDescent="0.25">
      <c r="A9" s="5" t="s">
        <v>22</v>
      </c>
      <c r="B9" s="5" t="s">
        <v>22</v>
      </c>
      <c r="C9" s="1">
        <v>1</v>
      </c>
      <c r="D9" s="1">
        <v>1</v>
      </c>
      <c r="E9" s="1">
        <f>0.33</f>
        <v>0.33</v>
      </c>
      <c r="F9" s="1" t="str">
        <f>Materials!A14 &amp; "*2" &amp; "; "&amp; A5</f>
        <v>leather*2; wicker basket</v>
      </c>
      <c r="G9" s="1">
        <f>2*Materials!H14 + H5</f>
        <v>5.2</v>
      </c>
      <c r="H9">
        <f t="shared" si="1"/>
        <v>18.787878787878789</v>
      </c>
      <c r="I9">
        <v>4</v>
      </c>
      <c r="J9" s="1" t="str">
        <f>Effects!A$27</f>
        <v>light_storage</v>
      </c>
      <c r="K9" s="1" t="str">
        <f>Effects!A$9</f>
        <v>carpentry</v>
      </c>
      <c r="L9" s="2">
        <f>1/ 50</f>
        <v>0.02</v>
      </c>
      <c r="M9" s="5" t="s">
        <v>10</v>
      </c>
      <c r="N9" s="11">
        <v>2</v>
      </c>
      <c r="O9" s="1">
        <f t="shared" si="0"/>
        <v>100</v>
      </c>
      <c r="P9" s="12">
        <f>0.2</f>
        <v>0.2</v>
      </c>
      <c r="Q9" s="1" t="str">
        <f>Effects!A$16 &amp; "*0,2"</f>
        <v>musicant*0,2</v>
      </c>
    </row>
    <row r="10" spans="1:17" x14ac:dyDescent="0.25">
      <c r="A10" s="5" t="s">
        <v>18</v>
      </c>
      <c r="B10" s="5" t="s">
        <v>18</v>
      </c>
      <c r="C10" s="1">
        <f>Coordinats!A5</f>
        <v>-7.8000000000000007</v>
      </c>
      <c r="D10" s="1">
        <f>Coordinats!B3</f>
        <v>-20</v>
      </c>
      <c r="E10" s="1">
        <f>0.5</f>
        <v>0.5</v>
      </c>
      <c r="F10" s="1" t="str">
        <f>Materials!A14 &amp;"*4"</f>
        <v>leather*4</v>
      </c>
      <c r="G10" s="1">
        <f>4*Materials!H14</f>
        <v>4.4000000000000004</v>
      </c>
      <c r="H10">
        <f>(1+G10 )/E10</f>
        <v>10.8</v>
      </c>
      <c r="I10">
        <v>3</v>
      </c>
      <c r="J10" s="1" t="str">
        <f>Effects!A$27</f>
        <v>light_storage</v>
      </c>
      <c r="K10" s="1" t="str">
        <f>Effects!A$6</f>
        <v>sewing</v>
      </c>
      <c r="L10" s="2">
        <f>1/ 100</f>
        <v>0.01</v>
      </c>
      <c r="M10" s="5" t="s">
        <v>20</v>
      </c>
      <c r="N10" s="11">
        <v>1</v>
      </c>
      <c r="O10" s="1">
        <f>N10/L10</f>
        <v>100</v>
      </c>
      <c r="P10" s="12">
        <f>5</f>
        <v>5</v>
      </c>
      <c r="Q10" s="1" t="str">
        <f>Effects!A$15 &amp; "*3;" &amp; Effects!A$12 &amp; "*2"</f>
        <v>happy*3;protection*2</v>
      </c>
    </row>
    <row r="11" spans="1:17" x14ac:dyDescent="0.25">
      <c r="A11" s="5" t="s">
        <v>23</v>
      </c>
      <c r="B11" s="5" t="s">
        <v>23</v>
      </c>
      <c r="C11" s="1">
        <f>Coordinats!A6</f>
        <v>-0.80000000000000071</v>
      </c>
      <c r="D11" s="1">
        <f>Coordinats!B3</f>
        <v>-20</v>
      </c>
      <c r="E11" s="1">
        <f>1</f>
        <v>1</v>
      </c>
      <c r="F11" s="1" t="str">
        <f>Materials!A14</f>
        <v>leather</v>
      </c>
      <c r="G11" s="1">
        <f>Materials!H14</f>
        <v>1.1000000000000001</v>
      </c>
      <c r="H11">
        <f t="shared" si="1"/>
        <v>2.1</v>
      </c>
      <c r="I11">
        <v>2</v>
      </c>
      <c r="J11" s="1" t="str">
        <f>Effects!A$27</f>
        <v>light_storage</v>
      </c>
      <c r="K11" s="1" t="str">
        <f>Effects!A$6</f>
        <v>sewing</v>
      </c>
      <c r="L11" s="2">
        <f>1/100</f>
        <v>0.01</v>
      </c>
      <c r="M11" s="5" t="s">
        <v>13</v>
      </c>
      <c r="N11" s="11">
        <v>1</v>
      </c>
      <c r="O11" s="1">
        <f t="shared" si="0"/>
        <v>100</v>
      </c>
      <c r="P11" s="12">
        <f>2</f>
        <v>2</v>
      </c>
      <c r="Q11" s="1" t="str">
        <f>Effects!A$15 &amp; "*2; " &amp; Effects!A$12 &amp; "*1"</f>
        <v>happy*2; protection*1</v>
      </c>
    </row>
    <row r="12" spans="1:17" x14ac:dyDescent="0.25">
      <c r="A12" s="5" t="s">
        <v>24</v>
      </c>
      <c r="B12" s="5" t="s">
        <v>24</v>
      </c>
      <c r="C12" s="1">
        <f>Coordinats!A7</f>
        <v>6.1999999999999993</v>
      </c>
      <c r="D12" s="1">
        <f>Coordinats!B3</f>
        <v>-20</v>
      </c>
      <c r="E12" s="1">
        <f>0.5</f>
        <v>0.5</v>
      </c>
      <c r="F12" s="1" t="str">
        <f>Materials!A14 &amp;"*2"</f>
        <v>leather*2</v>
      </c>
      <c r="G12" s="1">
        <f>2*Materials!H14</f>
        <v>2.2000000000000002</v>
      </c>
      <c r="H12">
        <f t="shared" si="1"/>
        <v>6.4</v>
      </c>
      <c r="I12">
        <v>3</v>
      </c>
      <c r="J12" s="1" t="str">
        <f>Effects!A$27</f>
        <v>light_storage</v>
      </c>
      <c r="K12" s="1" t="str">
        <f>Effects!A$6</f>
        <v>sewing</v>
      </c>
      <c r="L12" s="2">
        <f>1/ 100</f>
        <v>0.01</v>
      </c>
      <c r="M12" s="5" t="s">
        <v>10</v>
      </c>
      <c r="N12" s="11">
        <v>1</v>
      </c>
      <c r="O12" s="1">
        <f t="shared" si="0"/>
        <v>100</v>
      </c>
      <c r="P12" s="12">
        <f>3</f>
        <v>3</v>
      </c>
      <c r="Q12" s="1" t="str">
        <f>Effects!A$15 &amp; "*2;" &amp; Effects!A$12 &amp; "*2"</f>
        <v>happy*2;protection*2</v>
      </c>
    </row>
    <row r="13" spans="1:17" x14ac:dyDescent="0.25">
      <c r="A13" s="5" t="s">
        <v>28</v>
      </c>
      <c r="B13" s="5" t="s">
        <v>28</v>
      </c>
      <c r="C13" s="1">
        <f>Coordinats!A7</f>
        <v>6.1999999999999993</v>
      </c>
      <c r="D13" s="1">
        <f>Coordinats!B4</f>
        <v>-13.5</v>
      </c>
      <c r="E13" s="1">
        <f>1</f>
        <v>1</v>
      </c>
      <c r="F13" s="1" t="str">
        <f>Materials!A9 &amp;"*2"</f>
        <v>stone*2</v>
      </c>
      <c r="G13" s="1">
        <f>2*Materials!H4</f>
        <v>1.8423076923076924</v>
      </c>
      <c r="H13">
        <f t="shared" si="1"/>
        <v>2.8423076923076924</v>
      </c>
      <c r="I13">
        <v>1</v>
      </c>
      <c r="J13" s="1" t="str">
        <f>Effects!A$27</f>
        <v>light_storage</v>
      </c>
      <c r="K13" s="1" t="str">
        <f>Effects!A$8</f>
        <v>masonry</v>
      </c>
      <c r="L13" s="2">
        <f>1/ 100</f>
        <v>0.01</v>
      </c>
      <c r="M13" s="5" t="s">
        <v>13</v>
      </c>
      <c r="N13" s="11">
        <v>5</v>
      </c>
      <c r="O13" s="1">
        <f t="shared" si="0"/>
        <v>500</v>
      </c>
      <c r="P13" s="12">
        <f>1</f>
        <v>1</v>
      </c>
      <c r="Q13" s="1" t="str">
        <f>Effects!A$15 &amp; "*1"</f>
        <v>happy*1</v>
      </c>
    </row>
    <row r="14" spans="1:17" x14ac:dyDescent="0.25">
      <c r="A14" s="5" t="s">
        <v>80</v>
      </c>
      <c r="B14" s="5" t="s">
        <v>80</v>
      </c>
      <c r="C14" s="1">
        <f>Coordinats!A8</f>
        <v>13.2</v>
      </c>
      <c r="D14" s="1">
        <f>Coordinats!B3</f>
        <v>-20</v>
      </c>
      <c r="E14" s="1">
        <f>1</f>
        <v>1</v>
      </c>
      <c r="F14" s="1" t="str">
        <f>Materials!A7 &amp;"*2"</f>
        <v>bone*2</v>
      </c>
      <c r="G14" s="1">
        <f>2*Materials!H7</f>
        <v>0.4</v>
      </c>
      <c r="H14">
        <f t="shared" si="1"/>
        <v>1.4</v>
      </c>
      <c r="I14">
        <v>1</v>
      </c>
      <c r="J14" s="1" t="str">
        <f>Effects!A$27</f>
        <v>light_storage</v>
      </c>
      <c r="K14" s="1" t="str">
        <f>Effects!A$10</f>
        <v>bone_carving</v>
      </c>
      <c r="L14" s="2">
        <f>1/ 100</f>
        <v>0.01</v>
      </c>
      <c r="M14" s="5" t="s">
        <v>13</v>
      </c>
      <c r="N14" s="11">
        <v>5</v>
      </c>
      <c r="O14" s="1">
        <f t="shared" si="0"/>
        <v>500</v>
      </c>
      <c r="P14" s="12">
        <f>1</f>
        <v>1</v>
      </c>
      <c r="Q14" s="1" t="str">
        <f>Effects!A$15 &amp; "*1"</f>
        <v>happy*1</v>
      </c>
    </row>
    <row r="15" spans="1:17" x14ac:dyDescent="0.25">
      <c r="A15" s="5" t="s">
        <v>29</v>
      </c>
      <c r="B15" s="5" t="s">
        <v>29</v>
      </c>
      <c r="C15" s="1">
        <f>Coordinats!A4</f>
        <v>-14.8</v>
      </c>
      <c r="D15" s="1">
        <f>Coordinats!B3</f>
        <v>-20</v>
      </c>
      <c r="E15" s="1">
        <f>1</f>
        <v>1</v>
      </c>
      <c r="F15" s="1" t="str">
        <f>Materials!A14 &amp;"*2"</f>
        <v>leather*2</v>
      </c>
      <c r="G15" s="1">
        <f>2*Materials!H14</f>
        <v>2.2000000000000002</v>
      </c>
      <c r="H15">
        <f t="shared" si="1"/>
        <v>3.2</v>
      </c>
      <c r="I15">
        <v>1</v>
      </c>
      <c r="J15" s="1" t="str">
        <f>Effects!A$27</f>
        <v>light_storage</v>
      </c>
      <c r="K15" s="1" t="str">
        <f>Effects!A$6</f>
        <v>sewing</v>
      </c>
      <c r="L15" s="2">
        <f>1/ 100</f>
        <v>0.01</v>
      </c>
      <c r="M15" s="5" t="s">
        <v>13</v>
      </c>
      <c r="N15" s="11">
        <v>5</v>
      </c>
      <c r="O15" s="1">
        <f t="shared" si="0"/>
        <v>500</v>
      </c>
      <c r="P15" s="12">
        <f>1</f>
        <v>1</v>
      </c>
      <c r="Q15" s="1" t="str">
        <f>Effects!A$15 &amp; "*1"</f>
        <v>happy*1</v>
      </c>
    </row>
    <row r="16" spans="1:17" x14ac:dyDescent="0.25">
      <c r="A16" s="5" t="s">
        <v>42</v>
      </c>
      <c r="B16" s="5" t="s">
        <v>42</v>
      </c>
      <c r="C16" s="1">
        <v>1</v>
      </c>
      <c r="D16" s="1">
        <v>1</v>
      </c>
      <c r="E16" s="1">
        <f>0.5</f>
        <v>0.5</v>
      </c>
      <c r="F16" s="1" t="str">
        <f>A10 &amp; "; " &amp; Materials!A7 &amp; "*6"</f>
        <v>leather shirt; bone*6</v>
      </c>
      <c r="G16" s="1">
        <f>H10+6*Materials!H7</f>
        <v>12</v>
      </c>
      <c r="H16">
        <f t="shared" si="1"/>
        <v>26</v>
      </c>
      <c r="I16">
        <v>5</v>
      </c>
      <c r="J16" s="1" t="str">
        <f>Effects!A$27</f>
        <v>light_storage</v>
      </c>
      <c r="K16" s="1" t="str">
        <f>Effects!A$10</f>
        <v>bone_carving</v>
      </c>
      <c r="L16" s="2">
        <f>1/ 20</f>
        <v>0.05</v>
      </c>
      <c r="M16" s="5" t="s">
        <v>15</v>
      </c>
      <c r="N16" s="11">
        <v>5</v>
      </c>
      <c r="O16" s="1">
        <f t="shared" si="0"/>
        <v>100</v>
      </c>
      <c r="P16" s="12">
        <f>5</f>
        <v>5</v>
      </c>
      <c r="Q16" s="1" t="str">
        <f>Effects!A$12 &amp; "*5"</f>
        <v>protection*5</v>
      </c>
    </row>
    <row r="17" spans="1:17" x14ac:dyDescent="0.25">
      <c r="A17" s="5" t="s">
        <v>41</v>
      </c>
      <c r="B17" s="5" t="s">
        <v>41</v>
      </c>
      <c r="C17" s="1">
        <v>1</v>
      </c>
      <c r="D17" s="1">
        <v>1</v>
      </c>
      <c r="E17" s="1">
        <f>0.1</f>
        <v>0.1</v>
      </c>
      <c r="F17" s="1" t="str">
        <f>Materials!A10 &amp; "*5; " &amp; Materials!A11 &amp; "*5"</f>
        <v>rods*5; stick*5</v>
      </c>
      <c r="G17" s="1">
        <f>5*Materials!H11 + 5*Materials!H10</f>
        <v>6</v>
      </c>
      <c r="H17">
        <f t="shared" si="1"/>
        <v>70</v>
      </c>
      <c r="I17">
        <v>2</v>
      </c>
      <c r="J17" s="1" t="str">
        <f>Effects!A$27</f>
        <v>light_storage</v>
      </c>
      <c r="K17" s="1" t="str">
        <f>Effects!A$9</f>
        <v>carpentry</v>
      </c>
      <c r="L17" s="2">
        <f>1/ 100</f>
        <v>0.01</v>
      </c>
      <c r="M17" s="5" t="s">
        <v>15</v>
      </c>
      <c r="N17" s="11">
        <v>1</v>
      </c>
      <c r="O17" s="1">
        <f t="shared" si="0"/>
        <v>100</v>
      </c>
      <c r="P17" s="12">
        <f>6</f>
        <v>6</v>
      </c>
      <c r="Q17" s="1" t="str">
        <f>Effects!A$13 &amp; "*6; " &amp; Effects!A11 &amp; "*1,5;" &amp; Effects!A4 &amp; "*3,0"</f>
        <v>attack_distance*6; attack*1,5;hunt*3,0</v>
      </c>
    </row>
    <row r="18" spans="1:17" x14ac:dyDescent="0.25">
      <c r="A18" s="5" t="s">
        <v>116</v>
      </c>
      <c r="B18" s="5" t="s">
        <v>116</v>
      </c>
      <c r="C18" s="1">
        <f>Coordinats!A2</f>
        <v>-28.8</v>
      </c>
      <c r="D18" s="1">
        <f>Coordinats!B7</f>
        <v>6</v>
      </c>
      <c r="E18" s="1">
        <f>1</f>
        <v>1</v>
      </c>
      <c r="F18" s="1" t="str">
        <f>Materials!A15 &amp; "*2; " &amp; Materials!A13</f>
        <v>clay*2; firewood</v>
      </c>
      <c r="G18" s="11">
        <f>2*Materials!H15 + Materials!H11</f>
        <v>3</v>
      </c>
      <c r="H18">
        <f t="shared" si="1"/>
        <v>4</v>
      </c>
      <c r="I18">
        <v>1</v>
      </c>
      <c r="J18" s="1" t="str">
        <f>Effects!A$27</f>
        <v>light_storage</v>
      </c>
      <c r="K18" s="1" t="str">
        <f>Effects!A$21</f>
        <v>pottery</v>
      </c>
      <c r="L18" s="2">
        <f>1/ 50</f>
        <v>0.02</v>
      </c>
      <c r="M18" s="5" t="s">
        <v>15</v>
      </c>
      <c r="N18" s="11">
        <v>1</v>
      </c>
      <c r="O18" s="1">
        <f t="shared" si="0"/>
        <v>50</v>
      </c>
      <c r="P18" s="16">
        <v>1</v>
      </c>
      <c r="Q18" s="1" t="str">
        <f>Effects!A$20&amp; "*0,25"</f>
        <v>cooking*0,25</v>
      </c>
    </row>
    <row r="19" spans="1:17" x14ac:dyDescent="0.25">
      <c r="A19" s="5" t="s">
        <v>118</v>
      </c>
      <c r="B19" s="5" t="s">
        <v>118</v>
      </c>
      <c r="C19" s="1">
        <f>Coordinats!A2</f>
        <v>-28.8</v>
      </c>
      <c r="D19" s="1">
        <f>Coordinats!B6</f>
        <v>-0.5</v>
      </c>
      <c r="E19" s="1">
        <v>0.5</v>
      </c>
      <c r="F19" s="1" t="str">
        <f>Materials!A15 &amp; "*4; " &amp; Materials!A13 &amp; "*2"</f>
        <v>clay*4; firewood*2</v>
      </c>
      <c r="G19" s="1">
        <f>4*Materials!H15 + Materials!H11*2</f>
        <v>6</v>
      </c>
      <c r="H19">
        <f>(1+G19 )/E19</f>
        <v>14</v>
      </c>
      <c r="I19">
        <v>1</v>
      </c>
      <c r="J19" s="5" t="str">
        <f>Effects!A$27</f>
        <v>light_storage</v>
      </c>
      <c r="K19" s="5" t="str">
        <f>Effects!A$21</f>
        <v>pottery</v>
      </c>
      <c r="L19" s="2">
        <f>1/ 100</f>
        <v>0.01</v>
      </c>
      <c r="M19" s="5" t="s">
        <v>15</v>
      </c>
      <c r="N19" s="1">
        <v>1</v>
      </c>
      <c r="O19" s="1">
        <f>N19/L19</f>
        <v>100</v>
      </c>
      <c r="P19" s="16">
        <v>1</v>
      </c>
      <c r="Q19" s="1" t="str">
        <f>Effects!A$20&amp; "*0,5"</f>
        <v>cooking*0,5</v>
      </c>
    </row>
    <row r="20" spans="1:17" x14ac:dyDescent="0.25">
      <c r="A20" s="5" t="s">
        <v>139</v>
      </c>
      <c r="B20" s="5" t="s">
        <v>139</v>
      </c>
      <c r="C20" s="1">
        <f>Coordinats!$A$4</f>
        <v>-14.8</v>
      </c>
      <c r="D20" s="1">
        <f>Coordinats!$B$10</f>
        <v>25.5</v>
      </c>
      <c r="E20" s="1">
        <v>1</v>
      </c>
      <c r="F20" s="1" t="str">
        <f>Materials!A9&amp; "*4; " &amp; Materials!A11 &amp; "*2"</f>
        <v>stone*4; stick*2</v>
      </c>
      <c r="G20" s="1">
        <f>4*Materials!H9 + Materials!H11*2</f>
        <v>6</v>
      </c>
      <c r="H20">
        <f>(1+G20 )/E20</f>
        <v>7</v>
      </c>
      <c r="I20">
        <v>1</v>
      </c>
      <c r="J20" s="5" t="str">
        <f>Effects!A$27</f>
        <v>light_storage</v>
      </c>
      <c r="K20" s="1" t="str">
        <f>Effects!A$9</f>
        <v>carpentry</v>
      </c>
      <c r="L20" s="2">
        <f>1/ 50</f>
        <v>0.02</v>
      </c>
      <c r="M20" s="5" t="s">
        <v>15</v>
      </c>
      <c r="N20" s="1">
        <v>1</v>
      </c>
      <c r="O20" s="1">
        <f>N20/L20</f>
        <v>50</v>
      </c>
      <c r="P20" s="16">
        <v>1</v>
      </c>
      <c r="Q20" s="1" t="str">
        <f>Effects!A$22&amp; "*2; "&amp; Effects!A25 &amp; " *1,5"</f>
        <v>plowing*2; grow *1,5</v>
      </c>
    </row>
    <row r="21" spans="1:17" x14ac:dyDescent="0.25">
      <c r="A21" s="7" t="s">
        <v>138</v>
      </c>
      <c r="B21" s="7" t="s">
        <v>138</v>
      </c>
      <c r="C21" s="1">
        <f>Coordinats!$A$3</f>
        <v>-21.8</v>
      </c>
      <c r="D21" s="1">
        <f>Coordinats!$B$9</f>
        <v>19</v>
      </c>
      <c r="E21" s="9">
        <v>1</v>
      </c>
      <c r="F21" s="21" t="str">
        <f>Materials!A12 &amp; "*2"</f>
        <v>log*2</v>
      </c>
      <c r="G21" s="9">
        <f>Materials!H12*2</f>
        <v>8</v>
      </c>
      <c r="H21" s="6">
        <f>(1+G21 )/E21</f>
        <v>9</v>
      </c>
      <c r="I21" s="6">
        <v>1</v>
      </c>
      <c r="J21" s="10" t="str">
        <f>Effects!A$27</f>
        <v>light_storage</v>
      </c>
      <c r="K21" s="22" t="str">
        <f>Effects!A$8</f>
        <v>masonry</v>
      </c>
      <c r="L21" s="8">
        <f>1/ 100</f>
        <v>0.01</v>
      </c>
      <c r="M21" s="7" t="s">
        <v>15</v>
      </c>
      <c r="N21" s="9">
        <v>1</v>
      </c>
      <c r="O21" s="9">
        <f>N21/L21</f>
        <v>100</v>
      </c>
      <c r="P21" s="23">
        <v>1</v>
      </c>
      <c r="Q21" s="9" t="str">
        <f>Effects!A$22&amp; "*-0,5; "&amp; Effects!A25 &amp; " *1,5"</f>
        <v>plowing*-0,5; grow *1,5</v>
      </c>
    </row>
    <row r="22" spans="1:17" x14ac:dyDescent="0.25">
      <c r="A22" s="5" t="s">
        <v>151</v>
      </c>
      <c r="B22" s="5" t="s">
        <v>151</v>
      </c>
      <c r="C22" s="1">
        <f>Coordinats!A2</f>
        <v>-28.8</v>
      </c>
      <c r="D22" s="1">
        <f>Coordinats!B8</f>
        <v>12.5</v>
      </c>
      <c r="E22" s="1">
        <f>1</f>
        <v>1</v>
      </c>
      <c r="F22" s="1" t="str">
        <f>Materials!A15 &amp;"*3; " &amp; Materials!A13 &amp; "*2"</f>
        <v>clay*3; firewood*2</v>
      </c>
      <c r="G22" s="1">
        <f>3*Materials!H15 + 2*Materials!H13</f>
        <v>4.1400000000000006</v>
      </c>
      <c r="H22" s="6">
        <f>(1+G22 )/E22</f>
        <v>5.1400000000000006</v>
      </c>
      <c r="I22">
        <v>1</v>
      </c>
      <c r="J22" s="1" t="str">
        <f>Effects!A$27</f>
        <v>light_storage</v>
      </c>
      <c r="K22" s="1" t="str">
        <f>Effects!A$21</f>
        <v>pottery</v>
      </c>
      <c r="L22" s="2">
        <f>1/ 100</f>
        <v>0.01</v>
      </c>
      <c r="M22" s="5" t="s">
        <v>13</v>
      </c>
      <c r="N22" s="11">
        <v>5</v>
      </c>
      <c r="O22" s="1">
        <f>N22/L22</f>
        <v>500</v>
      </c>
      <c r="P22" s="12">
        <f>1</f>
        <v>1</v>
      </c>
      <c r="Q22" s="1" t="str">
        <f>Effects!A$15 &amp; "*2"</f>
        <v>happy*2</v>
      </c>
    </row>
    <row r="23" spans="1:17" x14ac:dyDescent="0.25">
      <c r="A23" s="7" t="s">
        <v>220</v>
      </c>
      <c r="B23" s="6" t="s">
        <v>173</v>
      </c>
      <c r="C23" s="9">
        <v>1</v>
      </c>
      <c r="D23" s="9">
        <v>1</v>
      </c>
      <c r="E23" s="9">
        <v>5</v>
      </c>
      <c r="F23" s="1" t="str">
        <f>Materials!A22 &amp;"*1; " &amp; Materials!A11 &amp; "*0,5"</f>
        <v>-feather*1; stick*0,5</v>
      </c>
      <c r="G23" s="1">
        <f>1*Materials!H22 + 0.5*Materials!H11</f>
        <v>1.5</v>
      </c>
      <c r="H23" s="6">
        <f>(1+G23 )/E23</f>
        <v>0.5</v>
      </c>
      <c r="I23" s="6">
        <v>0.1</v>
      </c>
      <c r="J23" s="1" t="str">
        <f>Effects!A$27</f>
        <v>light_storage</v>
      </c>
      <c r="K23" s="1" t="str">
        <f>Effects!A$9</f>
        <v>carpentry</v>
      </c>
      <c r="L23" s="8">
        <v>0.1</v>
      </c>
      <c r="M23" s="6" t="s">
        <v>174</v>
      </c>
      <c r="N23" s="9">
        <v>10</v>
      </c>
      <c r="O23" s="1">
        <f>N23/L23</f>
        <v>100</v>
      </c>
      <c r="P23" s="23">
        <v>2</v>
      </c>
      <c r="Q23" s="9" t="str">
        <f xml:space="preserve"> Effects!A11 &amp; "*0,7;" &amp; Effects!A4 &amp; "*1,0"</f>
        <v>attack*0,7;hunt*1,0</v>
      </c>
    </row>
  </sheetData>
  <phoneticPr fontId="2" type="noConversion"/>
  <dataValidations count="1">
    <dataValidation type="list" allowBlank="1" showInputMessage="1" showErrorMessage="1" sqref="J2:J23" xr:uid="{00000000-0002-0000-0000-000000000000}">
      <formula1>storageTypes</formula1>
    </dataValidation>
  </dataValidations>
  <pageMargins left="0.7" right="0.7" top="0.75" bottom="0.75" header="0.3" footer="0.3"/>
  <pageSetup paperSize="9" orientation="portrait"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M22"/>
  <sheetViews>
    <sheetView workbookViewId="0">
      <selection activeCell="A4" sqref="A4"/>
    </sheetView>
  </sheetViews>
  <sheetFormatPr defaultRowHeight="15" x14ac:dyDescent="0.25"/>
  <cols>
    <col min="1" max="4" width="16.140625" customWidth="1"/>
    <col min="5" max="5" width="21.28515625" customWidth="1"/>
    <col min="6" max="6" width="31.28515625" customWidth="1"/>
    <col min="7" max="7" width="15.140625" customWidth="1"/>
    <col min="8" max="8" width="18.42578125" customWidth="1"/>
    <col min="9" max="9" width="51.140625" customWidth="1"/>
    <col min="10" max="11" width="21.28515625" customWidth="1"/>
    <col min="12" max="12" width="16.140625" customWidth="1"/>
    <col min="13" max="13" width="13.85546875" customWidth="1"/>
  </cols>
  <sheetData>
    <row r="1" spans="1:13" x14ac:dyDescent="0.25">
      <c r="A1" t="s">
        <v>72</v>
      </c>
      <c r="B1" t="s">
        <v>98</v>
      </c>
      <c r="C1" t="s">
        <v>96</v>
      </c>
      <c r="D1" t="s">
        <v>97</v>
      </c>
      <c r="E1" t="s">
        <v>71</v>
      </c>
      <c r="F1" t="s">
        <v>1</v>
      </c>
      <c r="G1" t="s">
        <v>73</v>
      </c>
      <c r="H1" t="s">
        <v>3</v>
      </c>
      <c r="I1" t="s">
        <v>30</v>
      </c>
      <c r="J1" t="s">
        <v>99</v>
      </c>
      <c r="K1" t="s">
        <v>216</v>
      </c>
      <c r="L1" t="s">
        <v>89</v>
      </c>
      <c r="M1" t="s">
        <v>90</v>
      </c>
    </row>
    <row r="2" spans="1:13" ht="45.75" customHeight="1" x14ac:dyDescent="0.25">
      <c r="A2" s="5" t="s">
        <v>79</v>
      </c>
      <c r="B2" s="5" t="s">
        <v>79</v>
      </c>
      <c r="C2" s="1">
        <f>Coordinats!A5</f>
        <v>-7.8000000000000007</v>
      </c>
      <c r="D2" s="1">
        <f>Coordinats!B7</f>
        <v>6</v>
      </c>
      <c r="E2" s="5">
        <v>2</v>
      </c>
      <c r="F2" s="1" t="str">
        <f>Materials!A4 &amp;"*" &amp; L2</f>
        <v>clean vegetables*35</v>
      </c>
      <c r="G2" s="11">
        <f>Materials!H4*L2</f>
        <v>32.24038461538462</v>
      </c>
      <c r="H2">
        <f>(L2 )/E2 + G2</f>
        <v>49.74038461538462</v>
      </c>
      <c r="I2" s="13" t="str">
        <f>Materials!A9 &amp;", " &amp; Items!A2 &amp;", " &amp; Items!A3 &amp;  ", "  &amp; Items!A6 &amp;  ", " &amp; A5 &amp;  ", " &amp;A10 &amp;  ", " &amp;A3 &amp; ", " &amp; Resources!H4</f>
        <v>stone, stone axe, stone hummer, stone spear, advenced stone cutting, buildings, hand pottery, stone deposit</v>
      </c>
      <c r="J2" s="13"/>
      <c r="K2" s="13"/>
      <c r="L2">
        <v>35</v>
      </c>
    </row>
    <row r="3" spans="1:13" ht="30" x14ac:dyDescent="0.25">
      <c r="A3" s="5" t="s">
        <v>119</v>
      </c>
      <c r="B3" s="5" t="s">
        <v>119</v>
      </c>
      <c r="C3" s="1">
        <f>Coordinats!A6</f>
        <v>-0.80000000000000071</v>
      </c>
      <c r="D3" s="1">
        <f>Coordinats!B7</f>
        <v>6</v>
      </c>
      <c r="E3" s="5" t="s">
        <v>120</v>
      </c>
      <c r="F3" s="1" t="str">
        <f>Materials!A4 &amp;"*" &amp; L3</f>
        <v>clean vegetables*70</v>
      </c>
      <c r="G3" s="11">
        <f>L3*Materials!H4 + M3*Materials!H14</f>
        <v>64.480769230769241</v>
      </c>
      <c r="H3">
        <f>(L3 )/E3 + G3</f>
        <v>99.480769230769241</v>
      </c>
      <c r="I3" s="13" t="str">
        <f>Materials!A15  &amp; ", " &amp; Items!A18 &amp; ", " &amp; Items!A19 &amp; ", " &amp; Items!A22  &amp;  ", "  &amp;A15 &amp; ", " &amp; Resources!H3</f>
        <v>clay, rough plate, rough pot, ceramic figure, coocked food, clay deposit</v>
      </c>
      <c r="J3" s="13"/>
      <c r="K3" s="13"/>
      <c r="L3">
        <v>70</v>
      </c>
      <c r="M3">
        <v>0</v>
      </c>
    </row>
    <row r="4" spans="1:13" ht="30" x14ac:dyDescent="0.25">
      <c r="A4" s="5" t="s">
        <v>32</v>
      </c>
      <c r="B4" s="5" t="s">
        <v>32</v>
      </c>
      <c r="C4" s="1">
        <f>Coordinats!A4</f>
        <v>-14.8</v>
      </c>
      <c r="D4" s="1">
        <f>Coordinats!B6</f>
        <v>-0.5</v>
      </c>
      <c r="E4" s="5">
        <v>2</v>
      </c>
      <c r="F4" s="1" t="str">
        <f>Materials!A4 &amp;"*" &amp; L4</f>
        <v>clean vegetables*106</v>
      </c>
      <c r="G4" s="11">
        <f>Materials!H4*L4</f>
        <v>97.642307692307696</v>
      </c>
      <c r="H4">
        <f>(L4 )/E4 + G4</f>
        <v>150.6423076923077</v>
      </c>
      <c r="I4" s="13" t="str">
        <f>Items!A5&amp;", " &amp;A8&amp;", " &amp;A11 &amp;", " &amp;Materials!A10 &amp; ", " &amp; Building!A2 &amp; ", " &amp; Resources!A5  &amp;", " &amp; A12</f>
        <v>wicker basket, -celebrations, hunters, rods, hut of branches, swamp thing, farming</v>
      </c>
      <c r="J4" s="13"/>
      <c r="K4" s="13"/>
      <c r="L4">
        <v>106</v>
      </c>
    </row>
    <row r="5" spans="1:13" ht="28.5" customHeight="1" x14ac:dyDescent="0.25">
      <c r="A5" s="5" t="s">
        <v>91</v>
      </c>
      <c r="B5" s="5" t="s">
        <v>91</v>
      </c>
      <c r="C5" s="1">
        <f>Coordinats!A5</f>
        <v>-7.8000000000000007</v>
      </c>
      <c r="D5" s="1">
        <f>Coordinats!B8</f>
        <v>12.5</v>
      </c>
      <c r="E5" s="5">
        <v>2</v>
      </c>
      <c r="F5" s="1" t="str">
        <f>Materials!A9 &amp;"*" &amp; L5</f>
        <v>stone*133</v>
      </c>
      <c r="G5" s="11">
        <f>Materials!H9*L5</f>
        <v>133</v>
      </c>
      <c r="H5">
        <f>(L5 )/E5 + G5</f>
        <v>199.5</v>
      </c>
      <c r="I5" s="13" t="str">
        <f xml:space="preserve"> Items!A4 &amp;", " &amp; Items!A13 &amp; ", " &amp; A9 &amp;  ", " &amp; A6  &amp;", " &amp;A12</f>
        <v>stone knife, stone statue, bone carving, leather working, farming</v>
      </c>
      <c r="J5" s="13"/>
      <c r="K5" s="13"/>
      <c r="L5">
        <v>133</v>
      </c>
    </row>
    <row r="6" spans="1:13" ht="31.5" customHeight="1" x14ac:dyDescent="0.25">
      <c r="A6" s="5" t="s">
        <v>33</v>
      </c>
      <c r="B6" s="5" t="s">
        <v>33</v>
      </c>
      <c r="C6" s="1">
        <f>Coordinats!A6</f>
        <v>-0.80000000000000071</v>
      </c>
      <c r="D6" s="1">
        <f>Coordinats!B4</f>
        <v>-13.5</v>
      </c>
      <c r="E6" s="5">
        <v>2</v>
      </c>
      <c r="F6" s="1" t="str">
        <f>Materials!A4&amp;"*"&amp;L6 &amp;"; "&amp;Items!A4 &amp;"*" &amp; M6</f>
        <v>clean vegetables*70; stone knife*30</v>
      </c>
      <c r="G6" s="11">
        <f>Materials!H4*L6 + Items!H4 *M6</f>
        <v>154.48076923076923</v>
      </c>
      <c r="H6">
        <f>(L6 )/E6 + G6</f>
        <v>189.48076923076923</v>
      </c>
      <c r="I6" s="13" t="str">
        <f xml:space="preserve"> A7 &amp;  ", "&amp; Items!A15 &amp;  ", " &amp;A8 &amp; ", " &amp; Materials!A8&amp; ", " &amp; Materials!A14</f>
        <v>leather cloth, leather braslete, -celebrations, fur, leather</v>
      </c>
      <c r="J6" s="13"/>
      <c r="K6" s="13"/>
      <c r="L6">
        <v>70</v>
      </c>
      <c r="M6">
        <v>30</v>
      </c>
    </row>
    <row r="7" spans="1:13" ht="31.5" customHeight="1" x14ac:dyDescent="0.25">
      <c r="A7" s="5" t="s">
        <v>152</v>
      </c>
      <c r="B7" s="5" t="s">
        <v>152</v>
      </c>
      <c r="C7" s="1">
        <f>Coordinats!A7</f>
        <v>6.1999999999999993</v>
      </c>
      <c r="D7" s="1">
        <f>Coordinats!B3</f>
        <v>-20</v>
      </c>
      <c r="E7" s="5" t="s">
        <v>120</v>
      </c>
      <c r="F7" s="1" t="str">
        <f>Materials!A14&amp;"*"&amp;L7</f>
        <v>leather*167</v>
      </c>
      <c r="G7" s="11">
        <f>Materials!H14*L7</f>
        <v>183.70000000000002</v>
      </c>
      <c r="H7" s="5">
        <f>(200 )/E7 + G7</f>
        <v>283.70000000000005</v>
      </c>
      <c r="I7" s="13" t="str">
        <f>Items!A10 &amp;", " &amp;Items!A12  &amp;  ", " &amp; Items!A11</f>
        <v>leather shirt, leather pants, leather shoe</v>
      </c>
      <c r="J7" s="13"/>
      <c r="K7" s="13"/>
      <c r="L7">
        <v>167</v>
      </c>
      <c r="M7">
        <v>50</v>
      </c>
    </row>
    <row r="8" spans="1:13" ht="30" customHeight="1" x14ac:dyDescent="0.25">
      <c r="A8" s="5" t="s">
        <v>82</v>
      </c>
      <c r="B8" s="5" t="s">
        <v>82</v>
      </c>
      <c r="C8" s="1">
        <v>1</v>
      </c>
      <c r="D8" s="1">
        <v>1</v>
      </c>
      <c r="E8" s="5">
        <v>2</v>
      </c>
      <c r="F8" s="1" t="str">
        <f>Materials!A4 &amp; "*" &amp; L8 &amp;"; " &amp; Materials!A14 &amp;"*" &amp; M8</f>
        <v>clean vegetables*151; leather*60</v>
      </c>
      <c r="G8" s="11">
        <f>Materials!H4*L8 + Materials!H14*M8</f>
        <v>205.09423076923079</v>
      </c>
      <c r="H8">
        <f>(L8  + M8)/E8 + G8</f>
        <v>310.59423076923076</v>
      </c>
      <c r="I8" s="13" t="str">
        <f>Items!A9&amp; ", " &amp; Building!A5</f>
        <v>basket drum, Long house</v>
      </c>
      <c r="J8" s="13"/>
      <c r="K8" s="13"/>
      <c r="L8">
        <v>151</v>
      </c>
      <c r="M8">
        <v>60</v>
      </c>
    </row>
    <row r="9" spans="1:13" ht="28.5" customHeight="1" x14ac:dyDescent="0.25">
      <c r="A9" s="5" t="s">
        <v>34</v>
      </c>
      <c r="B9" s="5" t="s">
        <v>34</v>
      </c>
      <c r="C9" s="1">
        <f>Coordinats!A5</f>
        <v>-7.8000000000000007</v>
      </c>
      <c r="D9" s="1">
        <f>Coordinats!B9</f>
        <v>19</v>
      </c>
      <c r="E9" s="5">
        <v>1</v>
      </c>
      <c r="F9" s="1" t="str">
        <f>Items!A4 &amp;"*" &amp; L9</f>
        <v>stone knife*85</v>
      </c>
      <c r="G9" s="11">
        <f>L9*Items!H4</f>
        <v>255</v>
      </c>
      <c r="H9">
        <f>(L9 )/E9 + G9</f>
        <v>340</v>
      </c>
      <c r="I9" s="13" t="str">
        <f>Items!A14&amp;", " &amp;Items!A8 &amp;", " &amp;Materials!A7 &amp; ", " &amp;A11</f>
        <v>bone necklace, bone needle, bone, hunters</v>
      </c>
      <c r="J9" s="13"/>
      <c r="K9" s="13"/>
      <c r="L9">
        <v>85</v>
      </c>
    </row>
    <row r="10" spans="1:13" ht="25.5" customHeight="1" x14ac:dyDescent="0.25">
      <c r="A10" s="5" t="s">
        <v>39</v>
      </c>
      <c r="B10" s="5" t="s">
        <v>39</v>
      </c>
      <c r="C10" s="1">
        <f>Coordinats!A8</f>
        <v>13.2</v>
      </c>
      <c r="D10" s="1">
        <f>Coordinats!B7</f>
        <v>6</v>
      </c>
      <c r="E10" s="5">
        <v>1</v>
      </c>
      <c r="F10" s="1" t="str">
        <f>Items!A2 &amp; "*" &amp; L10 &amp; ";" &amp; Materials!A4 &amp;"*" &amp; M10</f>
        <v>stone axe*75;clean vegetables*52</v>
      </c>
      <c r="G10" s="11">
        <f>L10*Items!H2 + M10*Materials!H4</f>
        <v>272.89999999999998</v>
      </c>
      <c r="H10">
        <f t="shared" ref="H10:H16" si="0">(L10  + M10)/E10 + G10</f>
        <v>399.9</v>
      </c>
      <c r="I10" s="13" t="str">
        <f>Materials!A12&amp;", " &amp;Building!A3 &amp;", " &amp;Building!A5 &amp;", " &amp;Building!A6 &amp;", " &amp; A14 &amp; ", " &amp; Resources!A3  &amp;", " &amp;A13</f>
        <v>log, log barraks, Long house, warehouse, family cabin, forest, primitive farming tools</v>
      </c>
      <c r="J10" s="13"/>
      <c r="K10" s="13"/>
      <c r="L10">
        <v>75</v>
      </c>
      <c r="M10">
        <v>52</v>
      </c>
    </row>
    <row r="11" spans="1:13" ht="33" customHeight="1" x14ac:dyDescent="0.25">
      <c r="A11" s="5" t="s">
        <v>175</v>
      </c>
      <c r="B11" s="5" t="s">
        <v>175</v>
      </c>
      <c r="C11" s="1">
        <v>1</v>
      </c>
      <c r="D11" s="1">
        <v>1</v>
      </c>
      <c r="E11" s="5">
        <v>1</v>
      </c>
      <c r="F11" s="1" t="str">
        <f>Items!A2 &amp; "*" &amp; L11 &amp; ";" &amp; Materials!A7 &amp;"*" &amp; M11</f>
        <v>stone axe*100;bone*35</v>
      </c>
      <c r="G11" s="11">
        <f>L11*Items!H2 + M11*Materials!H7</f>
        <v>307</v>
      </c>
      <c r="H11">
        <f t="shared" si="0"/>
        <v>442</v>
      </c>
      <c r="I11" s="13" t="str">
        <f>Army!A2&amp;", " &amp;Army!A3 &amp;", " &amp;Items!A16&amp;", " &amp;Items!A17 &amp;", " &amp;Items!A23&amp;", " &amp;Materials!A22 &amp;", " &amp;Items!A7</f>
        <v>-spearman, -archer, bone armor, bow, -primitive arrow, -feather, rod shield</v>
      </c>
      <c r="J11" s="13"/>
      <c r="K11" s="13"/>
      <c r="L11">
        <v>100</v>
      </c>
      <c r="M11">
        <v>35</v>
      </c>
    </row>
    <row r="12" spans="1:13" ht="49.5" customHeight="1" x14ac:dyDescent="0.25">
      <c r="A12" s="5" t="s">
        <v>149</v>
      </c>
      <c r="B12" s="5" t="s">
        <v>149</v>
      </c>
      <c r="C12" s="1">
        <f>Coordinats!$A$2</f>
        <v>-28.8</v>
      </c>
      <c r="D12" s="1">
        <f>Coordinats!$B$4</f>
        <v>-13.5</v>
      </c>
      <c r="E12" s="5">
        <v>1</v>
      </c>
      <c r="F12" s="1" t="str">
        <f>Items!A5 &amp; "*" &amp; L12 &amp; ";" &amp; Materials!A3&amp;"*" &amp; M12</f>
        <v>wicker basket*100;wild vegetables*57</v>
      </c>
      <c r="G12" s="11">
        <f>L12*Items!H5 + M12*Materials!H3</f>
        <v>343.84615384615381</v>
      </c>
      <c r="H12">
        <f t="shared" si="0"/>
        <v>500.84615384615381</v>
      </c>
      <c r="I12" s="13" t="str">
        <f>Resources!H5 &amp; ", " &amp; Resources!H6 &amp;  ", " &amp; Processes!A4 &amp; ", " &amp; Materials!A17 &amp; ", " &amp; Materials!A18&amp; ", " &amp; Materials!A19&amp; ", " &amp; Materials!A20&amp; ", " &amp; Materials!A21 &amp; ", " &amp; Processes!A2 &amp; ", " &amp; Processes!A3 &amp; ", " &amp; A13 &amp; ", " &amp;  A15</f>
        <v>territory, empty field, farm field, harvest carrots, harvest wheat, grain, carrot, flour, wheat field, carrot field, primitive farming tools, coocked food</v>
      </c>
      <c r="J12" s="13"/>
      <c r="K12" s="13"/>
      <c r="L12">
        <v>100</v>
      </c>
      <c r="M12">
        <v>57</v>
      </c>
    </row>
    <row r="13" spans="1:13" ht="33" customHeight="1" x14ac:dyDescent="0.25">
      <c r="A13" s="5" t="s">
        <v>150</v>
      </c>
      <c r="B13" s="5" t="s">
        <v>150</v>
      </c>
      <c r="C13" s="1">
        <f>Coordinats!$A$3</f>
        <v>-21.8</v>
      </c>
      <c r="D13" s="1">
        <f>Coordinats!$B$9</f>
        <v>19</v>
      </c>
      <c r="E13" s="5">
        <v>1</v>
      </c>
      <c r="F13" s="1" t="str">
        <f>Items!A4 &amp; "*" &amp; L13 &amp; ";" &amp; Materials!A12&amp;"*" &amp; M13</f>
        <v>stone knife*75;log*50</v>
      </c>
      <c r="G13" s="11">
        <f>L13*Items!H4 + M13*Materials!H12</f>
        <v>425</v>
      </c>
      <c r="H13">
        <f t="shared" si="0"/>
        <v>550</v>
      </c>
      <c r="I13" s="13" t="str">
        <f>A14 &amp; ", " &amp; Items!A21&amp; ", " &amp; Items!A20</f>
        <v>family cabin, prmitive harrow, stone hoe</v>
      </c>
      <c r="J13" s="13"/>
      <c r="K13" s="13"/>
      <c r="L13">
        <v>75</v>
      </c>
      <c r="M13">
        <v>50</v>
      </c>
    </row>
    <row r="14" spans="1:13" ht="25.5" customHeight="1" x14ac:dyDescent="0.25">
      <c r="A14" s="5" t="s">
        <v>100</v>
      </c>
      <c r="B14" s="5" t="s">
        <v>100</v>
      </c>
      <c r="C14" s="1">
        <f>Coordinats!A8</f>
        <v>13.2</v>
      </c>
      <c r="D14" s="1">
        <f>Coordinats!B7</f>
        <v>6</v>
      </c>
      <c r="E14" s="5">
        <v>1</v>
      </c>
      <c r="F14" s="1" t="str">
        <f>Items!A2 &amp; "*" &amp; L14 &amp; ";" &amp; Materials!A12 &amp;"*" &amp; M14</f>
        <v>stone axe*75;log*60</v>
      </c>
      <c r="G14" s="11">
        <f>L14*Items!H2 + M14*Materials!H12</f>
        <v>465</v>
      </c>
      <c r="H14">
        <f t="shared" si="0"/>
        <v>600</v>
      </c>
      <c r="I14" s="13" t="str">
        <f>Building!A4</f>
        <v>log cabin</v>
      </c>
      <c r="J14" s="13"/>
      <c r="K14" s="13"/>
      <c r="L14">
        <v>75</v>
      </c>
      <c r="M14">
        <v>60</v>
      </c>
    </row>
    <row r="15" spans="1:13" x14ac:dyDescent="0.25">
      <c r="A15" s="5" t="s">
        <v>121</v>
      </c>
      <c r="B15" s="5" t="s">
        <v>121</v>
      </c>
      <c r="C15" s="1">
        <f>Coordinats!A6</f>
        <v>-0.80000000000000071</v>
      </c>
      <c r="D15" s="1">
        <f>Coordinats!B7</f>
        <v>6</v>
      </c>
      <c r="E15" s="5">
        <v>1</v>
      </c>
      <c r="F15" s="1" t="str">
        <f>Items!A4 &amp; "*" &amp; L15 &amp; ";" &amp; Materials!A9 &amp;"*" &amp; M15</f>
        <v>stone knife*120;stone*140</v>
      </c>
      <c r="G15" s="11">
        <f>L15*Items!H4 + M15*Materials!H9</f>
        <v>500</v>
      </c>
      <c r="H15">
        <f t="shared" si="0"/>
        <v>760</v>
      </c>
      <c r="I15" s="13" t="str">
        <f>Materials!A5 &amp;", " &amp;Materials!A6</f>
        <v>smoked food, soup</v>
      </c>
      <c r="J15" s="13"/>
      <c r="K15" s="13"/>
      <c r="L15">
        <v>120</v>
      </c>
      <c r="M15">
        <v>140</v>
      </c>
    </row>
    <row r="16" spans="1:13" x14ac:dyDescent="0.25">
      <c r="A16" s="5" t="s">
        <v>122</v>
      </c>
      <c r="B16" s="5" t="s">
        <v>123</v>
      </c>
      <c r="C16" s="1">
        <v>1</v>
      </c>
      <c r="D16" s="1">
        <v>1</v>
      </c>
      <c r="E16" s="5">
        <v>1</v>
      </c>
      <c r="F16" s="1" t="str">
        <f>Items!A5 &amp; "*" &amp; L16 &amp; ";" &amp; Materials!A10 &amp;"*" &amp; M16</f>
        <v>wicker basket*55;rods*50</v>
      </c>
      <c r="G16" s="11">
        <f>L16*Items!H5 + M16*Materials!H10</f>
        <v>175</v>
      </c>
      <c r="H16">
        <f t="shared" si="0"/>
        <v>280</v>
      </c>
      <c r="I16" s="13" t="str">
        <f>Materials!A16</f>
        <v>brick</v>
      </c>
      <c r="J16" s="13"/>
      <c r="K16" s="13"/>
      <c r="L16">
        <v>55</v>
      </c>
      <c r="M16">
        <v>50</v>
      </c>
    </row>
    <row r="17" spans="1:8" x14ac:dyDescent="0.25">
      <c r="A17" s="5"/>
      <c r="B17" s="5"/>
      <c r="C17" s="5"/>
      <c r="D17" s="5"/>
      <c r="F17" s="5"/>
      <c r="H17" s="3"/>
    </row>
    <row r="18" spans="1:8" x14ac:dyDescent="0.25">
      <c r="A18" s="5"/>
      <c r="B18" s="5"/>
      <c r="C18" s="5"/>
      <c r="D18" s="5"/>
      <c r="F18" s="5"/>
      <c r="H18" s="3"/>
    </row>
    <row r="19" spans="1:8" x14ac:dyDescent="0.25">
      <c r="A19" s="5"/>
      <c r="B19" s="5"/>
      <c r="C19" s="5"/>
      <c r="D19" s="5"/>
      <c r="F19" s="5"/>
      <c r="H19" s="3"/>
    </row>
    <row r="20" spans="1:8" x14ac:dyDescent="0.25">
      <c r="A20" s="5"/>
      <c r="B20" s="5"/>
      <c r="C20" s="5"/>
      <c r="D20" s="5"/>
      <c r="F20" s="5"/>
      <c r="H20" s="3"/>
    </row>
    <row r="21" spans="1:8" x14ac:dyDescent="0.25">
      <c r="A21" s="5"/>
      <c r="B21" s="5"/>
      <c r="C21" s="5"/>
      <c r="D21" s="5"/>
      <c r="F21" s="5"/>
      <c r="H21" s="3"/>
    </row>
    <row r="22" spans="1:8" x14ac:dyDescent="0.25">
      <c r="A22" s="5"/>
      <c r="B22" s="5"/>
      <c r="C22" s="5"/>
      <c r="D22" s="5"/>
      <c r="F22" s="5"/>
      <c r="H22" s="3"/>
    </row>
  </sheetData>
  <pageMargins left="0.7" right="0.7" top="0.75" bottom="0.75" header="0.3" footer="0.3"/>
  <pageSetup paperSize="9"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39716-4F60-466B-B89C-4BD8583B8797}">
  <dimension ref="A1:K28"/>
  <sheetViews>
    <sheetView topLeftCell="A10" workbookViewId="0">
      <selection activeCell="B16" sqref="B16"/>
    </sheetView>
  </sheetViews>
  <sheetFormatPr defaultRowHeight="15" x14ac:dyDescent="0.25"/>
  <cols>
    <col min="2" max="2" width="39" customWidth="1"/>
    <col min="3" max="3" width="8.28515625" customWidth="1"/>
    <col min="4" max="4" width="11.28515625" customWidth="1"/>
    <col min="5" max="5" width="11.28515625" style="11" customWidth="1"/>
    <col min="6" max="6" width="14.28515625" customWidth="1"/>
    <col min="7" max="7" width="25.5703125" customWidth="1"/>
    <col min="8" max="8" width="14" customWidth="1"/>
    <col min="9" max="9" width="18.42578125" customWidth="1"/>
    <col min="10" max="10" width="17.28515625" customWidth="1"/>
  </cols>
  <sheetData>
    <row r="1" spans="1:11" x14ac:dyDescent="0.25">
      <c r="A1" s="15" t="s">
        <v>0</v>
      </c>
      <c r="B1" s="15" t="s">
        <v>98</v>
      </c>
      <c r="C1" s="15" t="s">
        <v>96</v>
      </c>
      <c r="D1" s="15" t="s">
        <v>97</v>
      </c>
      <c r="E1" s="49" t="s">
        <v>217</v>
      </c>
      <c r="F1" s="20" t="s">
        <v>238</v>
      </c>
      <c r="G1" s="20" t="s">
        <v>218</v>
      </c>
      <c r="H1" s="20" t="s">
        <v>236</v>
      </c>
      <c r="I1" s="20" t="s">
        <v>237</v>
      </c>
      <c r="J1" s="32" t="s">
        <v>239</v>
      </c>
    </row>
    <row r="2" spans="1:11" ht="86.25" customHeight="1" x14ac:dyDescent="0.25">
      <c r="A2" s="42" t="str">
        <f t="shared" ref="A2:A22" si="0">"tip" &amp; K2</f>
        <v>tip1</v>
      </c>
      <c r="B2" s="34" t="s">
        <v>243</v>
      </c>
      <c r="C2" s="28">
        <f>Coordinats!A7</f>
        <v>6.1999999999999993</v>
      </c>
      <c r="D2" s="28">
        <f>Coordinats!B7</f>
        <v>6</v>
      </c>
      <c r="F2" s="5"/>
      <c r="G2" s="5" t="str">
        <f t="shared" ref="G2:G21" si="1">A3</f>
        <v>tip2</v>
      </c>
      <c r="H2" s="5"/>
      <c r="I2" s="5"/>
      <c r="J2" t="s">
        <v>240</v>
      </c>
      <c r="K2">
        <v>1</v>
      </c>
    </row>
    <row r="3" spans="1:11" ht="91.5" customHeight="1" x14ac:dyDescent="0.25">
      <c r="A3" s="42" t="str">
        <f t="shared" si="0"/>
        <v>tip2</v>
      </c>
      <c r="B3" s="33" t="s">
        <v>242</v>
      </c>
      <c r="C3" s="17">
        <v>6.2</v>
      </c>
      <c r="D3" s="17">
        <v>6</v>
      </c>
      <c r="E3" s="11" t="s">
        <v>219</v>
      </c>
      <c r="F3" s="5"/>
      <c r="G3" s="5" t="str">
        <f t="shared" si="1"/>
        <v>tip3</v>
      </c>
      <c r="H3" s="5"/>
      <c r="I3" s="5"/>
      <c r="J3" t="s">
        <v>240</v>
      </c>
      <c r="K3">
        <f>K2 +1</f>
        <v>2</v>
      </c>
    </row>
    <row r="4" spans="1:11" ht="36" customHeight="1" x14ac:dyDescent="0.25">
      <c r="A4" s="42" t="str">
        <f t="shared" si="0"/>
        <v>tip3</v>
      </c>
      <c r="B4" s="27" t="s">
        <v>244</v>
      </c>
      <c r="C4" s="28">
        <v>6.2</v>
      </c>
      <c r="D4" s="28">
        <v>6</v>
      </c>
      <c r="E4" s="11" t="s">
        <v>245</v>
      </c>
      <c r="F4" s="5"/>
      <c r="G4" s="5" t="str">
        <f t="shared" si="1"/>
        <v>tip4</v>
      </c>
      <c r="H4" s="5"/>
      <c r="I4" s="5"/>
      <c r="J4" t="s">
        <v>241</v>
      </c>
      <c r="K4">
        <f t="shared" ref="K4:K22" si="2">K3 +1</f>
        <v>3</v>
      </c>
    </row>
    <row r="5" spans="1:11" ht="33" customHeight="1" x14ac:dyDescent="0.25">
      <c r="A5" s="42" t="str">
        <f t="shared" si="0"/>
        <v>tip4</v>
      </c>
      <c r="B5" s="31" t="s">
        <v>258</v>
      </c>
      <c r="C5" s="17">
        <v>6.2</v>
      </c>
      <c r="D5" s="17">
        <v>6</v>
      </c>
      <c r="E5" s="11" t="s">
        <v>246</v>
      </c>
      <c r="F5" s="5"/>
      <c r="G5" s="5" t="str">
        <f t="shared" si="1"/>
        <v>tip5</v>
      </c>
      <c r="H5" s="5"/>
      <c r="I5" s="5"/>
      <c r="J5" t="s">
        <v>241</v>
      </c>
      <c r="K5">
        <f t="shared" si="2"/>
        <v>4</v>
      </c>
    </row>
    <row r="6" spans="1:11" ht="45" x14ac:dyDescent="0.25">
      <c r="A6" s="42" t="str">
        <f t="shared" si="0"/>
        <v>tip5</v>
      </c>
      <c r="B6" s="46" t="s">
        <v>259</v>
      </c>
      <c r="C6" s="17">
        <v>6.2</v>
      </c>
      <c r="D6" s="17">
        <v>6</v>
      </c>
      <c r="E6" s="11" t="s">
        <v>260</v>
      </c>
      <c r="F6" s="5"/>
      <c r="G6" s="5" t="str">
        <f t="shared" si="1"/>
        <v>tip6</v>
      </c>
      <c r="H6" s="40" t="s">
        <v>262</v>
      </c>
      <c r="I6" s="6" t="s">
        <v>261</v>
      </c>
      <c r="J6" t="s">
        <v>241</v>
      </c>
      <c r="K6">
        <f t="shared" si="2"/>
        <v>5</v>
      </c>
    </row>
    <row r="7" spans="1:11" ht="30" x14ac:dyDescent="0.25">
      <c r="A7" s="42" t="str">
        <f t="shared" si="0"/>
        <v>tip6</v>
      </c>
      <c r="B7" s="45" t="s">
        <v>247</v>
      </c>
      <c r="C7" s="17">
        <v>6.2</v>
      </c>
      <c r="D7" s="17">
        <v>6</v>
      </c>
      <c r="E7" s="10" t="s">
        <v>248</v>
      </c>
      <c r="F7" s="7"/>
      <c r="G7" s="5" t="str">
        <f t="shared" si="1"/>
        <v>tip7</v>
      </c>
      <c r="H7" s="6"/>
      <c r="I7" s="6"/>
      <c r="J7" t="s">
        <v>241</v>
      </c>
      <c r="K7">
        <f t="shared" si="2"/>
        <v>6</v>
      </c>
    </row>
    <row r="8" spans="1:11" ht="45" x14ac:dyDescent="0.25">
      <c r="A8" s="42" t="str">
        <f t="shared" si="0"/>
        <v>tip7</v>
      </c>
      <c r="B8" s="45" t="s">
        <v>250</v>
      </c>
      <c r="C8" s="17">
        <v>6.2</v>
      </c>
      <c r="D8" s="17">
        <v>6</v>
      </c>
      <c r="E8" s="10" t="str">
        <f>Materials!A$3</f>
        <v>wild vegetables</v>
      </c>
      <c r="F8" s="7"/>
      <c r="G8" s="5" t="str">
        <f t="shared" si="1"/>
        <v>tip8</v>
      </c>
      <c r="H8" s="6"/>
      <c r="I8" s="6"/>
      <c r="J8" s="6" t="s">
        <v>240</v>
      </c>
      <c r="K8">
        <f t="shared" si="2"/>
        <v>7</v>
      </c>
    </row>
    <row r="9" spans="1:11" x14ac:dyDescent="0.25">
      <c r="A9" s="42" t="str">
        <f t="shared" si="0"/>
        <v>tip8</v>
      </c>
      <c r="B9" s="7" t="s">
        <v>253</v>
      </c>
      <c r="C9" s="37">
        <v>6.2</v>
      </c>
      <c r="D9" s="37">
        <v>6</v>
      </c>
      <c r="E9" s="25" t="str">
        <f>Materials!A3</f>
        <v>wild vegetables</v>
      </c>
      <c r="F9" s="7"/>
      <c r="G9" s="5" t="str">
        <f t="shared" si="1"/>
        <v>tip9</v>
      </c>
      <c r="H9" s="39" t="s">
        <v>252</v>
      </c>
      <c r="I9" s="6" t="s">
        <v>251</v>
      </c>
      <c r="J9" s="6" t="s">
        <v>240</v>
      </c>
      <c r="K9">
        <f t="shared" si="2"/>
        <v>8</v>
      </c>
    </row>
    <row r="10" spans="1:11" ht="45" x14ac:dyDescent="0.25">
      <c r="A10" s="42" t="str">
        <f t="shared" si="0"/>
        <v>tip9</v>
      </c>
      <c r="B10" s="45" t="s">
        <v>263</v>
      </c>
      <c r="C10" s="37">
        <v>6.2</v>
      </c>
      <c r="D10" s="37">
        <v>6</v>
      </c>
      <c r="E10" s="25" t="str">
        <f>Materials!A$3</f>
        <v>wild vegetables</v>
      </c>
      <c r="F10" s="7" t="s">
        <v>257</v>
      </c>
      <c r="G10" s="5" t="str">
        <f t="shared" si="1"/>
        <v>tip10</v>
      </c>
      <c r="H10" s="40" t="s">
        <v>256</v>
      </c>
      <c r="I10" s="6" t="s">
        <v>254</v>
      </c>
      <c r="J10" s="6" t="s">
        <v>240</v>
      </c>
      <c r="K10">
        <f t="shared" si="2"/>
        <v>9</v>
      </c>
    </row>
    <row r="11" spans="1:11" ht="201.75" customHeight="1" x14ac:dyDescent="0.25">
      <c r="A11" s="42" t="str">
        <f t="shared" si="0"/>
        <v>tip10</v>
      </c>
      <c r="B11" s="36" t="s">
        <v>264</v>
      </c>
      <c r="C11" s="37">
        <v>6.2</v>
      </c>
      <c r="D11" s="37">
        <v>6</v>
      </c>
      <c r="E11" s="25" t="str">
        <f>Materials!A$3</f>
        <v>wild vegetables</v>
      </c>
      <c r="F11" s="38" t="s">
        <v>255</v>
      </c>
      <c r="G11" s="5" t="s">
        <v>266</v>
      </c>
      <c r="H11" s="40" t="s">
        <v>256</v>
      </c>
      <c r="I11" s="24" t="s">
        <v>254</v>
      </c>
      <c r="J11" s="6" t="s">
        <v>240</v>
      </c>
      <c r="K11">
        <f t="shared" si="2"/>
        <v>10</v>
      </c>
    </row>
    <row r="12" spans="1:11" ht="30" x14ac:dyDescent="0.25">
      <c r="A12" s="47" t="str">
        <f t="shared" si="0"/>
        <v>tip11</v>
      </c>
      <c r="B12" s="36" t="s">
        <v>265</v>
      </c>
      <c r="C12" s="37">
        <v>6.2</v>
      </c>
      <c r="D12" s="37">
        <v>6</v>
      </c>
      <c r="E12" s="25" t="str">
        <f>Materials!A$3</f>
        <v>wild vegetables</v>
      </c>
      <c r="F12" s="41" t="s">
        <v>268</v>
      </c>
      <c r="G12" s="9" t="str">
        <f>A13</f>
        <v>tip12</v>
      </c>
      <c r="H12" s="43"/>
      <c r="I12" s="44"/>
      <c r="J12" s="6" t="s">
        <v>240</v>
      </c>
      <c r="K12">
        <f t="shared" si="2"/>
        <v>11</v>
      </c>
    </row>
    <row r="13" spans="1:11" ht="45" x14ac:dyDescent="0.25">
      <c r="A13" s="47" t="str">
        <f t="shared" si="0"/>
        <v>tip12</v>
      </c>
      <c r="B13" s="36" t="s">
        <v>267</v>
      </c>
      <c r="C13" s="37">
        <v>6.2</v>
      </c>
      <c r="D13" s="37">
        <v>6</v>
      </c>
      <c r="E13" s="48" t="str">
        <f>Materials!A$4</f>
        <v>clean vegetables</v>
      </c>
      <c r="F13" s="41" t="s">
        <v>269</v>
      </c>
      <c r="G13" s="9" t="str">
        <f t="shared" si="1"/>
        <v>tip13</v>
      </c>
      <c r="H13" s="43"/>
      <c r="I13" s="44"/>
      <c r="J13" s="6" t="s">
        <v>240</v>
      </c>
      <c r="K13">
        <f t="shared" si="2"/>
        <v>12</v>
      </c>
    </row>
    <row r="14" spans="1:11" ht="30" x14ac:dyDescent="0.25">
      <c r="A14" s="42" t="str">
        <f t="shared" si="0"/>
        <v>tip13</v>
      </c>
      <c r="B14" s="36" t="s">
        <v>273</v>
      </c>
      <c r="C14" s="28">
        <v>6.2</v>
      </c>
      <c r="D14" s="28">
        <v>4</v>
      </c>
      <c r="E14" s="48" t="str">
        <f>Science!A4</f>
        <v>rod using</v>
      </c>
      <c r="F14" s="41" t="s">
        <v>270</v>
      </c>
      <c r="G14" s="9" t="str">
        <f t="shared" si="1"/>
        <v>tip14</v>
      </c>
      <c r="H14" s="43"/>
      <c r="I14" s="44"/>
      <c r="J14" s="6" t="s">
        <v>240</v>
      </c>
      <c r="K14">
        <f t="shared" si="2"/>
        <v>13</v>
      </c>
    </row>
    <row r="15" spans="1:11" ht="45" x14ac:dyDescent="0.25">
      <c r="A15" s="47" t="str">
        <f t="shared" si="0"/>
        <v>tip14</v>
      </c>
      <c r="B15" s="36" t="s">
        <v>271</v>
      </c>
      <c r="C15" s="37">
        <v>6.2</v>
      </c>
      <c r="D15" s="37">
        <v>4</v>
      </c>
      <c r="E15" s="48" t="str">
        <f>Science!A4</f>
        <v>rod using</v>
      </c>
      <c r="F15" s="38" t="s">
        <v>272</v>
      </c>
      <c r="G15" s="9" t="s">
        <v>274</v>
      </c>
      <c r="H15" s="43"/>
      <c r="I15" s="44"/>
      <c r="J15" s="6" t="s">
        <v>240</v>
      </c>
      <c r="K15">
        <f t="shared" si="2"/>
        <v>14</v>
      </c>
    </row>
    <row r="16" spans="1:11" ht="90" x14ac:dyDescent="0.25">
      <c r="A16" s="47" t="str">
        <f t="shared" si="0"/>
        <v>tip15</v>
      </c>
      <c r="B16" s="36" t="s">
        <v>275</v>
      </c>
      <c r="C16" s="37">
        <v>6.2</v>
      </c>
      <c r="D16" s="37">
        <v>6</v>
      </c>
      <c r="E16" s="48" t="str">
        <f>Materials!A2</f>
        <v>hunting</v>
      </c>
      <c r="F16" s="41"/>
      <c r="G16" s="9"/>
      <c r="H16" s="43"/>
      <c r="I16" s="44"/>
      <c r="J16" s="6" t="s">
        <v>240</v>
      </c>
      <c r="K16">
        <f t="shared" si="2"/>
        <v>15</v>
      </c>
    </row>
    <row r="17" spans="1:11" x14ac:dyDescent="0.25">
      <c r="A17" s="42" t="str">
        <f t="shared" si="0"/>
        <v>tip16</v>
      </c>
      <c r="B17" s="36"/>
      <c r="C17" s="28">
        <v>6.2</v>
      </c>
      <c r="D17" s="28">
        <v>6</v>
      </c>
      <c r="E17" s="48"/>
      <c r="F17" s="41"/>
      <c r="G17" s="5" t="str">
        <f t="shared" si="1"/>
        <v>tip17</v>
      </c>
      <c r="H17" s="43"/>
      <c r="I17" s="44"/>
      <c r="J17" s="6"/>
      <c r="K17">
        <f t="shared" si="2"/>
        <v>16</v>
      </c>
    </row>
    <row r="18" spans="1:11" x14ac:dyDescent="0.25">
      <c r="A18" s="42" t="str">
        <f t="shared" si="0"/>
        <v>tip17</v>
      </c>
      <c r="B18" s="36"/>
      <c r="C18" s="28">
        <v>6.2</v>
      </c>
      <c r="D18" s="28">
        <v>6</v>
      </c>
      <c r="E18" s="48"/>
      <c r="F18" s="41"/>
      <c r="G18" s="5" t="str">
        <f t="shared" si="1"/>
        <v>tip18</v>
      </c>
      <c r="H18" s="43"/>
      <c r="I18" s="44"/>
      <c r="J18" s="6"/>
      <c r="K18">
        <f t="shared" si="2"/>
        <v>17</v>
      </c>
    </row>
    <row r="19" spans="1:11" x14ac:dyDescent="0.25">
      <c r="A19" s="42" t="str">
        <f t="shared" si="0"/>
        <v>tip18</v>
      </c>
      <c r="B19" s="36"/>
      <c r="C19" s="28">
        <v>6.2</v>
      </c>
      <c r="D19" s="28">
        <v>6</v>
      </c>
      <c r="E19" s="48"/>
      <c r="F19" s="41"/>
      <c r="G19" s="5" t="str">
        <f t="shared" si="1"/>
        <v>tip19</v>
      </c>
      <c r="H19" s="43"/>
      <c r="I19" s="44"/>
      <c r="J19" s="6"/>
      <c r="K19">
        <f t="shared" si="2"/>
        <v>18</v>
      </c>
    </row>
    <row r="20" spans="1:11" x14ac:dyDescent="0.25">
      <c r="A20" s="42" t="str">
        <f t="shared" si="0"/>
        <v>tip19</v>
      </c>
      <c r="B20" s="36"/>
      <c r="C20" s="28">
        <v>6.2</v>
      </c>
      <c r="D20" s="28">
        <v>6</v>
      </c>
      <c r="E20" s="48"/>
      <c r="F20" s="41"/>
      <c r="G20" s="5" t="str">
        <f t="shared" si="1"/>
        <v>tip20</v>
      </c>
      <c r="H20" s="43"/>
      <c r="I20" s="44"/>
      <c r="J20" s="6"/>
      <c r="K20">
        <f t="shared" si="2"/>
        <v>19</v>
      </c>
    </row>
    <row r="21" spans="1:11" x14ac:dyDescent="0.25">
      <c r="A21" s="42" t="str">
        <f t="shared" si="0"/>
        <v>tip20</v>
      </c>
      <c r="B21" s="36"/>
      <c r="C21" s="28">
        <v>6.2</v>
      </c>
      <c r="D21" s="28">
        <v>6</v>
      </c>
      <c r="E21" s="48"/>
      <c r="F21" s="41"/>
      <c r="G21" s="5" t="str">
        <f t="shared" si="1"/>
        <v>tip21</v>
      </c>
      <c r="H21" s="43"/>
      <c r="I21" s="44"/>
      <c r="J21" s="6"/>
      <c r="K21">
        <f t="shared" si="2"/>
        <v>20</v>
      </c>
    </row>
    <row r="22" spans="1:11" x14ac:dyDescent="0.25">
      <c r="A22" s="42" t="str">
        <f t="shared" si="0"/>
        <v>tip21</v>
      </c>
      <c r="B22" s="36"/>
      <c r="C22" s="28">
        <v>6.2</v>
      </c>
      <c r="D22" s="28">
        <v>6</v>
      </c>
      <c r="E22" s="48"/>
      <c r="F22" s="41"/>
      <c r="G22" s="21">
        <f t="shared" ref="G22" si="3">A23</f>
        <v>0</v>
      </c>
      <c r="H22" s="43"/>
      <c r="I22" s="44"/>
      <c r="J22" s="6"/>
      <c r="K22">
        <f t="shared" si="2"/>
        <v>21</v>
      </c>
    </row>
    <row r="23" spans="1:11" x14ac:dyDescent="0.25">
      <c r="A23" s="6"/>
      <c r="B23" s="6"/>
      <c r="C23" s="28">
        <v>6.2</v>
      </c>
      <c r="D23" s="28">
        <v>6</v>
      </c>
      <c r="E23" s="10"/>
      <c r="F23" s="7"/>
      <c r="G23" s="27"/>
      <c r="H23" s="6"/>
      <c r="I23" s="6"/>
      <c r="J23" t="s">
        <v>241</v>
      </c>
    </row>
    <row r="24" spans="1:11" x14ac:dyDescent="0.25">
      <c r="A24" s="6"/>
      <c r="B24" s="6"/>
      <c r="C24" s="28">
        <v>6.2</v>
      </c>
      <c r="D24" s="28">
        <v>6</v>
      </c>
      <c r="E24" s="10"/>
      <c r="F24" s="7"/>
      <c r="G24" s="27"/>
      <c r="H24" s="6"/>
      <c r="I24" s="6"/>
      <c r="J24" t="s">
        <v>241</v>
      </c>
    </row>
    <row r="25" spans="1:11" x14ac:dyDescent="0.25">
      <c r="A25" s="6"/>
      <c r="B25" s="6"/>
      <c r="C25" s="28">
        <v>6.2</v>
      </c>
      <c r="D25" s="28">
        <v>6</v>
      </c>
      <c r="E25" s="10" t="str">
        <f>Materials!A3</f>
        <v>wild vegetables</v>
      </c>
      <c r="F25" s="7"/>
      <c r="G25" s="27"/>
      <c r="H25" s="6"/>
      <c r="I25" s="6"/>
      <c r="J25" t="s">
        <v>241</v>
      </c>
    </row>
    <row r="26" spans="1:11" x14ac:dyDescent="0.25">
      <c r="A26" s="6"/>
      <c r="B26" s="6"/>
      <c r="C26" s="28">
        <v>6.2</v>
      </c>
      <c r="D26" s="28">
        <v>6</v>
      </c>
      <c r="E26" s="10"/>
      <c r="F26" s="35"/>
      <c r="G26" s="27"/>
      <c r="H26" s="6"/>
      <c r="I26" s="6"/>
      <c r="J26" t="s">
        <v>241</v>
      </c>
    </row>
    <row r="27" spans="1:11" x14ac:dyDescent="0.25">
      <c r="A27" s="6"/>
      <c r="B27" s="6"/>
      <c r="C27" s="28">
        <v>6.2</v>
      </c>
      <c r="D27" s="28">
        <v>6</v>
      </c>
      <c r="E27" s="10"/>
      <c r="F27" s="7"/>
      <c r="G27" s="27"/>
      <c r="H27" s="6"/>
      <c r="I27" s="6"/>
      <c r="J27" t="s">
        <v>241</v>
      </c>
    </row>
    <row r="28" spans="1:11" x14ac:dyDescent="0.25">
      <c r="A28" s="6"/>
      <c r="B28" s="6"/>
      <c r="C28" s="28">
        <v>6.2</v>
      </c>
      <c r="D28" s="28">
        <v>6</v>
      </c>
      <c r="E28" s="10"/>
      <c r="F28" s="7"/>
      <c r="G28" s="27"/>
      <c r="H28" s="6"/>
      <c r="I28" s="6"/>
      <c r="J28" t="s">
        <v>241</v>
      </c>
    </row>
  </sheetData>
  <phoneticPr fontId="2"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S7"/>
  <sheetViews>
    <sheetView workbookViewId="0">
      <selection activeCell="F2" sqref="F2"/>
    </sheetView>
  </sheetViews>
  <sheetFormatPr defaultRowHeight="15" x14ac:dyDescent="0.25"/>
  <cols>
    <col min="1" max="2" width="15.28515625" customWidth="1"/>
    <col min="3" max="3" width="11.7109375" customWidth="1"/>
    <col min="4" max="4" width="11.42578125" customWidth="1"/>
    <col min="5" max="5" width="21.7109375" customWidth="1"/>
    <col min="6" max="6" width="19.140625" customWidth="1"/>
    <col min="7" max="7" width="17" customWidth="1"/>
    <col min="8" max="8" width="13.5703125" customWidth="1"/>
    <col min="9" max="9" width="10.5703125" customWidth="1"/>
    <col min="10" max="10" width="11.42578125" customWidth="1"/>
    <col min="11" max="11" width="18.42578125" customWidth="1"/>
    <col min="12" max="12" width="11.28515625" customWidth="1"/>
    <col min="13" max="13" width="10.42578125" customWidth="1"/>
    <col min="14" max="14" width="22.42578125" bestFit="1" customWidth="1"/>
    <col min="15" max="15" width="22" customWidth="1"/>
    <col min="16" max="16" width="12.28515625" customWidth="1"/>
    <col min="17" max="17" width="22.42578125" customWidth="1"/>
    <col min="18" max="18" width="13.42578125" customWidth="1"/>
    <col min="20" max="20" width="18.42578125" bestFit="1" customWidth="1"/>
  </cols>
  <sheetData>
    <row r="1" spans="1:19" x14ac:dyDescent="0.25">
      <c r="A1" t="s">
        <v>0</v>
      </c>
      <c r="B1" t="s">
        <v>98</v>
      </c>
      <c r="C1" t="s">
        <v>96</v>
      </c>
      <c r="D1" t="s">
        <v>97</v>
      </c>
      <c r="E1" t="s">
        <v>71</v>
      </c>
      <c r="F1" t="s">
        <v>1</v>
      </c>
      <c r="G1" t="s">
        <v>2</v>
      </c>
      <c r="H1" t="s">
        <v>3</v>
      </c>
      <c r="I1" t="s">
        <v>40</v>
      </c>
      <c r="J1" t="s">
        <v>75</v>
      </c>
      <c r="K1" t="s">
        <v>64</v>
      </c>
      <c r="L1" t="s">
        <v>8</v>
      </c>
      <c r="M1" t="s">
        <v>9</v>
      </c>
      <c r="N1" t="s">
        <v>16</v>
      </c>
      <c r="O1" t="s">
        <v>19</v>
      </c>
      <c r="P1" t="s">
        <v>74</v>
      </c>
      <c r="Q1" t="s">
        <v>59</v>
      </c>
      <c r="R1" t="s">
        <v>95</v>
      </c>
    </row>
    <row r="2" spans="1:19" x14ac:dyDescent="0.25">
      <c r="A2" s="5" t="s">
        <v>93</v>
      </c>
      <c r="B2" s="5" t="s">
        <v>93</v>
      </c>
      <c r="C2" s="1">
        <f>Coordinats!A4</f>
        <v>-14.8</v>
      </c>
      <c r="D2" s="1">
        <f>Coordinats!B7</f>
        <v>6</v>
      </c>
      <c r="E2" s="1">
        <v>0.25</v>
      </c>
      <c r="F2" s="1" t="str">
        <f>Materials!A10 &amp; "*25"  &amp; "; "&amp; Materials!A11  &amp; "*25"</f>
        <v>rods*25; stick*25</v>
      </c>
      <c r="G2" s="1">
        <f>25*Materials!H10 + 25*Materials!H11</f>
        <v>30</v>
      </c>
      <c r="H2" s="1">
        <f>(1+G2 )/S2</f>
        <v>124</v>
      </c>
      <c r="I2">
        <v>10</v>
      </c>
      <c r="J2" s="1" t="str">
        <f>Effects!A$29</f>
        <v>territory</v>
      </c>
      <c r="K2" s="1" t="str">
        <f>Effects!A$14</f>
        <v>building</v>
      </c>
      <c r="L2" s="2">
        <f>1/ 100</f>
        <v>0.01</v>
      </c>
      <c r="M2" s="5" t="s">
        <v>20</v>
      </c>
      <c r="N2" s="1">
        <v>1</v>
      </c>
      <c r="O2" s="1">
        <f>N2/L2</f>
        <v>100</v>
      </c>
      <c r="P2">
        <v>1</v>
      </c>
      <c r="Q2" s="1" t="str">
        <f>Effects!A$26 &amp; "*1;" &amp; Effects!A$19 &amp; "*1"</f>
        <v>living*1;maxHappy*1</v>
      </c>
      <c r="R2">
        <v>1</v>
      </c>
      <c r="S2" s="1">
        <v>0.25</v>
      </c>
    </row>
    <row r="3" spans="1:19" x14ac:dyDescent="0.25">
      <c r="A3" s="5" t="s">
        <v>35</v>
      </c>
      <c r="B3" s="5" t="s">
        <v>35</v>
      </c>
      <c r="C3" s="1">
        <f>Coordinats!A8</f>
        <v>13.2</v>
      </c>
      <c r="D3" s="1">
        <f>Coordinats!B6</f>
        <v>-0.5</v>
      </c>
      <c r="E3" s="1">
        <v>2.5000000000000001E-2</v>
      </c>
      <c r="F3" s="1" t="str">
        <f>Materials!$A$12 &amp; "*1"</f>
        <v>log*1</v>
      </c>
      <c r="G3" s="1">
        <f>1*Materials!H12</f>
        <v>4</v>
      </c>
      <c r="H3" s="1">
        <f>(1+G3 )/S3</f>
        <v>200</v>
      </c>
      <c r="I3">
        <v>25</v>
      </c>
      <c r="J3" s="1" t="str">
        <f>Effects!A$29</f>
        <v>territory</v>
      </c>
      <c r="K3" s="1" t="str">
        <f>Effects!A$14</f>
        <v>building</v>
      </c>
      <c r="L3" s="2">
        <f>1/ 500</f>
        <v>2E-3</v>
      </c>
      <c r="M3" s="5" t="s">
        <v>13</v>
      </c>
      <c r="N3" s="1">
        <v>0.1</v>
      </c>
      <c r="O3" s="1">
        <f>N3/L3</f>
        <v>50</v>
      </c>
      <c r="P3">
        <v>6</v>
      </c>
      <c r="Q3" s="1" t="str">
        <f>Effects!A$26 &amp; "*6;" &amp; Effects!A$19 &amp; "*5"</f>
        <v>living*6;maxHappy*5</v>
      </c>
      <c r="R3" s="11">
        <v>5</v>
      </c>
      <c r="S3" s="1">
        <v>2.5000000000000001E-2</v>
      </c>
    </row>
    <row r="4" spans="1:19" x14ac:dyDescent="0.25">
      <c r="A4" s="5" t="s">
        <v>49</v>
      </c>
      <c r="B4" s="5" t="s">
        <v>49</v>
      </c>
      <c r="C4" s="1">
        <f>Coordinats!A8</f>
        <v>13.2</v>
      </c>
      <c r="D4" s="1">
        <f>Coordinats!B7</f>
        <v>6</v>
      </c>
      <c r="E4" s="1">
        <v>2.5000000000000001E-2</v>
      </c>
      <c r="F4" s="1" t="str">
        <f>Materials!$A$12 &amp;"*1"</f>
        <v>log*1</v>
      </c>
      <c r="G4" s="1">
        <f>1*Materials!H12</f>
        <v>4</v>
      </c>
      <c r="H4" s="1">
        <f>(1+G4 )/S4</f>
        <v>200</v>
      </c>
      <c r="I4">
        <v>25</v>
      </c>
      <c r="J4" s="1" t="s">
        <v>40</v>
      </c>
      <c r="K4" s="1" t="str">
        <f>Effects!A$14</f>
        <v>building</v>
      </c>
      <c r="L4" s="2">
        <f>1/ 500</f>
        <v>2E-3</v>
      </c>
      <c r="M4" s="5" t="s">
        <v>13</v>
      </c>
      <c r="N4" s="1">
        <v>0.1</v>
      </c>
      <c r="O4" s="1">
        <f>N4/L4</f>
        <v>50</v>
      </c>
      <c r="P4">
        <v>2</v>
      </c>
      <c r="Q4" s="1" t="str">
        <f>Effects!A$26 &amp; "*2;" &amp; Effects!A$19 &amp; "*10"</f>
        <v>living*2;maxHappy*10</v>
      </c>
      <c r="R4" s="11">
        <v>10</v>
      </c>
      <c r="S4" s="1">
        <v>2.5000000000000001E-2</v>
      </c>
    </row>
    <row r="5" spans="1:19" x14ac:dyDescent="0.25">
      <c r="A5" s="5" t="s">
        <v>51</v>
      </c>
      <c r="B5" s="5" t="s">
        <v>51</v>
      </c>
      <c r="C5" s="1">
        <v>1</v>
      </c>
      <c r="D5" s="1">
        <v>1</v>
      </c>
      <c r="E5" s="1">
        <v>0.01</v>
      </c>
      <c r="F5" s="1" t="str">
        <f>Materials!$A$12 &amp;"*1"</f>
        <v>log*1</v>
      </c>
      <c r="G5" s="1">
        <f>1*Materials!H12</f>
        <v>4</v>
      </c>
      <c r="H5" s="1">
        <f>(1+G5 )/S5</f>
        <v>500</v>
      </c>
      <c r="I5">
        <v>50</v>
      </c>
      <c r="J5" s="1" t="str">
        <f>Effects!A$29</f>
        <v>territory</v>
      </c>
      <c r="K5" s="1" t="str">
        <f>Effects!A$14</f>
        <v>building</v>
      </c>
      <c r="L5" s="2">
        <f>1/ 500</f>
        <v>2E-3</v>
      </c>
      <c r="M5" s="5" t="s">
        <v>13</v>
      </c>
      <c r="N5" s="1">
        <v>0.1</v>
      </c>
      <c r="O5" s="1">
        <f>N5/L5</f>
        <v>50</v>
      </c>
      <c r="P5">
        <v>30</v>
      </c>
      <c r="Q5" s="1" t="str">
        <f>Effects!A$2 &amp; "*30;" &amp; Effects!A$15 &amp; "*2"</f>
        <v>celebration*30;happy*2</v>
      </c>
      <c r="R5" s="11">
        <v>2</v>
      </c>
      <c r="S5" s="1">
        <v>0.01</v>
      </c>
    </row>
    <row r="6" spans="1:19" x14ac:dyDescent="0.25">
      <c r="A6" s="7" t="s">
        <v>66</v>
      </c>
      <c r="B6" s="7" t="s">
        <v>66</v>
      </c>
      <c r="C6" s="1">
        <f>Coordinats!A9</f>
        <v>20.2</v>
      </c>
      <c r="D6" s="1">
        <f>Coordinats!B7</f>
        <v>6</v>
      </c>
      <c r="E6" s="9">
        <v>0.02</v>
      </c>
      <c r="F6" s="1" t="str">
        <f>Materials!$A$12 &amp;"*1"</f>
        <v>log*1</v>
      </c>
      <c r="G6" s="9">
        <f>Materials!H12</f>
        <v>4</v>
      </c>
      <c r="H6" s="1">
        <f>(1+G6 )/S6</f>
        <v>250</v>
      </c>
      <c r="I6" s="6">
        <v>50</v>
      </c>
      <c r="J6" s="1" t="str">
        <f>Effects!A$29</f>
        <v>territory</v>
      </c>
      <c r="K6" s="1" t="str">
        <f>Effects!A$14</f>
        <v>building</v>
      </c>
      <c r="L6" s="8">
        <f>1/ 250</f>
        <v>4.0000000000000001E-3</v>
      </c>
      <c r="M6" s="7" t="s">
        <v>13</v>
      </c>
      <c r="N6" s="9">
        <v>0.1</v>
      </c>
      <c r="O6" s="9">
        <f>N6/L6</f>
        <v>25</v>
      </c>
      <c r="P6" s="10">
        <v>1000</v>
      </c>
      <c r="Q6" s="1" t="str">
        <f>Effects!A$28 &amp;"*1000"</f>
        <v>heavy_storage*1000</v>
      </c>
      <c r="R6" s="11">
        <v>0</v>
      </c>
      <c r="S6" s="9">
        <v>0.02</v>
      </c>
    </row>
    <row r="7" spans="1:19" x14ac:dyDescent="0.25">
      <c r="Q7" s="1"/>
    </row>
  </sheetData>
  <dataValidations count="1">
    <dataValidation type="list" allowBlank="1" showInputMessage="1" showErrorMessage="1" sqref="J2:J6" xr:uid="{00000000-0002-0000-02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7"/>
  <sheetViews>
    <sheetView workbookViewId="0">
      <selection activeCell="H7" sqref="H7"/>
    </sheetView>
  </sheetViews>
  <sheetFormatPr defaultRowHeight="15" x14ac:dyDescent="0.25"/>
  <cols>
    <col min="1" max="1" width="16.85546875" customWidth="1"/>
    <col min="2" max="2" width="19" customWidth="1"/>
    <col min="3" max="4" width="11.28515625" customWidth="1"/>
    <col min="5" max="5" width="20.42578125" customWidth="1"/>
    <col min="6" max="6" width="11" customWidth="1"/>
    <col min="8" max="8" width="11.85546875" customWidth="1"/>
    <col min="9" max="9" width="19.7109375" customWidth="1"/>
    <col min="10" max="10" width="18.140625" customWidth="1"/>
    <col min="11" max="11" width="17.5703125" customWidth="1"/>
    <col min="12" max="12" width="19.7109375" customWidth="1"/>
  </cols>
  <sheetData>
    <row r="1" spans="1:13" x14ac:dyDescent="0.25">
      <c r="A1" t="s">
        <v>190</v>
      </c>
      <c r="H1" t="s">
        <v>189</v>
      </c>
    </row>
    <row r="2" spans="1:13" x14ac:dyDescent="0.25">
      <c r="A2" s="14" t="s">
        <v>0</v>
      </c>
      <c r="B2" s="15" t="s">
        <v>98</v>
      </c>
      <c r="C2" s="15" t="s">
        <v>96</v>
      </c>
      <c r="D2" s="15" t="s">
        <v>97</v>
      </c>
      <c r="E2" s="15" t="s">
        <v>108</v>
      </c>
      <c r="F2" t="s">
        <v>107</v>
      </c>
      <c r="H2" t="s">
        <v>184</v>
      </c>
      <c r="I2" t="s">
        <v>185</v>
      </c>
      <c r="J2" t="s">
        <v>186</v>
      </c>
      <c r="K2" t="s">
        <v>187</v>
      </c>
      <c r="L2" t="s">
        <v>188</v>
      </c>
      <c r="M2" s="29"/>
    </row>
    <row r="3" spans="1:13" x14ac:dyDescent="0.25">
      <c r="A3" s="5" t="s">
        <v>109</v>
      </c>
      <c r="B3" s="5" t="s">
        <v>109</v>
      </c>
      <c r="C3">
        <f>Coordinats!A8</f>
        <v>13.2</v>
      </c>
      <c r="D3">
        <f>Coordinats!B8</f>
        <v>12.5</v>
      </c>
      <c r="E3">
        <v>1000000</v>
      </c>
      <c r="F3">
        <v>1.6000000000000001E-4</v>
      </c>
      <c r="H3" s="26" t="s">
        <v>111</v>
      </c>
      <c r="I3" s="27" t="s">
        <v>111</v>
      </c>
      <c r="J3" s="28">
        <f>Coordinats!A3</f>
        <v>-21.8</v>
      </c>
      <c r="K3" s="28">
        <f>Coordinats!B8</f>
        <v>12.5</v>
      </c>
      <c r="L3" s="28">
        <v>1000000</v>
      </c>
    </row>
    <row r="4" spans="1:13" x14ac:dyDescent="0.25">
      <c r="A4" s="5" t="s">
        <v>113</v>
      </c>
      <c r="B4" s="5" t="s">
        <v>113</v>
      </c>
      <c r="C4">
        <f>Coordinats!A7</f>
        <v>6.1999999999999993</v>
      </c>
      <c r="D4">
        <f>Coordinats!B$5</f>
        <v>-7</v>
      </c>
      <c r="E4">
        <v>10000</v>
      </c>
      <c r="F4">
        <v>3.0000000000000001E-3</v>
      </c>
      <c r="H4" s="5" t="s">
        <v>112</v>
      </c>
      <c r="I4" s="5" t="s">
        <v>112</v>
      </c>
      <c r="J4" s="1">
        <f>Coordinats!A4</f>
        <v>-14.8</v>
      </c>
      <c r="K4" s="1">
        <f>Coordinats!B8</f>
        <v>12.5</v>
      </c>
      <c r="L4">
        <v>1000000</v>
      </c>
    </row>
    <row r="5" spans="1:13" x14ac:dyDescent="0.25">
      <c r="A5" s="7" t="s">
        <v>110</v>
      </c>
      <c r="B5" s="7" t="s">
        <v>110</v>
      </c>
      <c r="C5" s="6">
        <f>Coordinats!A3</f>
        <v>-21.8</v>
      </c>
      <c r="D5" s="6">
        <f>Coordinats!B6</f>
        <v>-0.5</v>
      </c>
      <c r="E5" s="6">
        <v>10000</v>
      </c>
      <c r="F5" s="6">
        <v>3.0000000000000001E-3</v>
      </c>
      <c r="H5" s="5" t="s">
        <v>40</v>
      </c>
      <c r="I5" s="5" t="s">
        <v>40</v>
      </c>
      <c r="J5" s="1">
        <f>Coordinats!$A$2-1.5</f>
        <v>-30.3</v>
      </c>
      <c r="K5" s="1">
        <f>Coordinats!$B$5</f>
        <v>-7</v>
      </c>
      <c r="L5">
        <v>100000</v>
      </c>
    </row>
    <row r="6" spans="1:13" x14ac:dyDescent="0.25">
      <c r="A6" s="7" t="s">
        <v>221</v>
      </c>
      <c r="B6" s="7" t="s">
        <v>191</v>
      </c>
      <c r="C6" s="6">
        <v>1</v>
      </c>
      <c r="D6" s="6">
        <v>1</v>
      </c>
      <c r="E6" s="6">
        <v>1000000</v>
      </c>
      <c r="F6" s="6">
        <v>0.01</v>
      </c>
      <c r="H6" s="5" t="s">
        <v>135</v>
      </c>
      <c r="I6" s="5" t="s">
        <v>135</v>
      </c>
      <c r="J6" s="1">
        <f>Coordinats!$A$2+1.5</f>
        <v>-27.3</v>
      </c>
      <c r="K6" s="1">
        <f>Coordinats!$B$5</f>
        <v>-7</v>
      </c>
      <c r="L6">
        <v>0</v>
      </c>
    </row>
    <row r="7" spans="1:13" x14ac:dyDescent="0.25">
      <c r="H7" s="5" t="s">
        <v>276</v>
      </c>
      <c r="I7" s="5" t="s">
        <v>276</v>
      </c>
      <c r="J7" s="1">
        <v>1</v>
      </c>
      <c r="K7" s="1">
        <v>1</v>
      </c>
      <c r="L7">
        <v>0</v>
      </c>
    </row>
  </sheetData>
  <pageMargins left="0.7" right="0.7" top="0.75" bottom="0.75" header="0.3" footer="0.3"/>
  <pageSetup paperSize="9" orientation="portrait" horizontalDpi="300" verticalDpi="300"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N28"/>
  <sheetViews>
    <sheetView tabSelected="1" workbookViewId="0">
      <selection activeCell="A19" sqref="A19"/>
    </sheetView>
  </sheetViews>
  <sheetFormatPr defaultRowHeight="15" x14ac:dyDescent="0.25"/>
  <cols>
    <col min="1" max="2" width="18.42578125" customWidth="1"/>
    <col min="3" max="3" width="11.28515625" customWidth="1"/>
    <col min="4" max="4" width="11.42578125" customWidth="1"/>
    <col min="5" max="5" width="28.140625" customWidth="1"/>
    <col min="6" max="6" width="67.140625" customWidth="1"/>
    <col min="7" max="7" width="17" customWidth="1"/>
    <col min="8" max="8" width="11.140625" customWidth="1"/>
    <col min="9" max="9" width="11.5703125" customWidth="1"/>
    <col min="10" max="10" width="16.28515625" customWidth="1"/>
    <col min="11" max="11" width="18.140625" bestFit="1" customWidth="1"/>
  </cols>
  <sheetData>
    <row r="1" spans="1:13" x14ac:dyDescent="0.25">
      <c r="A1" t="s">
        <v>0</v>
      </c>
      <c r="B1" t="s">
        <v>98</v>
      </c>
      <c r="C1" t="s">
        <v>96</v>
      </c>
      <c r="D1" t="s">
        <v>97</v>
      </c>
      <c r="E1" t="s">
        <v>71</v>
      </c>
      <c r="F1" t="s">
        <v>1</v>
      </c>
      <c r="G1" t="s">
        <v>2</v>
      </c>
      <c r="H1" t="s">
        <v>3</v>
      </c>
      <c r="I1" t="s">
        <v>25</v>
      </c>
      <c r="J1" t="s">
        <v>75</v>
      </c>
      <c r="K1" t="s">
        <v>64</v>
      </c>
      <c r="L1" t="s">
        <v>94</v>
      </c>
    </row>
    <row r="2" spans="1:13" x14ac:dyDescent="0.25">
      <c r="A2" s="5" t="s">
        <v>4</v>
      </c>
      <c r="B2" s="5" t="s">
        <v>4</v>
      </c>
      <c r="C2" s="1">
        <f>Coordinats!A5</f>
        <v>-7.8000000000000007</v>
      </c>
      <c r="D2" s="1">
        <f>Coordinats!B5</f>
        <v>-7</v>
      </c>
      <c r="E2" s="1" t="str">
        <f>A4 &amp; "*" &amp; 4 &amp;"; " &amp;A7 &amp; "*4"&amp;"; " &amp;A8 &amp; "*4"</f>
        <v>clean vegetables*4; bone*4; fur*4</v>
      </c>
      <c r="F2" s="1" t="str">
        <f>WildAnimals!A3 &amp; "| " &amp; WildAnimals!A2 &amp; "| " &amp; WildAnimals!A4 &amp; "| "&amp; WildAnimals!A5 &amp; "| " &amp; WildAnimals!A6 &amp; "| " &amp; WildAnimals!A7&amp; "| " &amp; WildAnimals!A8</f>
        <v>boar| bear| wild hen| wild rabbit| wild cow| wild hourse| wild sheep</v>
      </c>
      <c r="G2">
        <v>0</v>
      </c>
      <c r="H2">
        <f t="shared" ref="H2:H18" si="0">(1+G2 )/M2</f>
        <v>1</v>
      </c>
      <c r="I2">
        <v>1</v>
      </c>
      <c r="J2" s="1" t="str">
        <f>Effects!A$27</f>
        <v>light_storage</v>
      </c>
      <c r="K2" s="1" t="str">
        <f>Effects!A$4 &amp; " &amp; " &amp; Effects!A$12</f>
        <v>hunt &amp; protection</v>
      </c>
      <c r="M2" s="1">
        <v>1</v>
      </c>
    </row>
    <row r="3" spans="1:13" x14ac:dyDescent="0.25">
      <c r="A3" s="5" t="s">
        <v>131</v>
      </c>
      <c r="B3" s="5" t="s">
        <v>131</v>
      </c>
      <c r="C3" s="1">
        <f>Coordinats!A6</f>
        <v>-0.80000000000000071</v>
      </c>
      <c r="D3" s="1">
        <f>Coordinats!B5</f>
        <v>-7</v>
      </c>
      <c r="E3" s="1">
        <f>1.3</f>
        <v>1.3</v>
      </c>
      <c r="F3" s="1" t="str">
        <f>Resources!A4</f>
        <v>wild fruit</v>
      </c>
      <c r="G3">
        <v>0</v>
      </c>
      <c r="H3">
        <f t="shared" si="0"/>
        <v>0.76923076923076916</v>
      </c>
      <c r="I3">
        <v>1</v>
      </c>
      <c r="J3" s="1" t="str">
        <f>Effects!A$27</f>
        <v>light_storage</v>
      </c>
      <c r="K3" s="1" t="str">
        <f>Effects!A$3 &amp; " &amp; " &amp; Effects!A$18</f>
        <v>harvesting &amp; food</v>
      </c>
      <c r="M3" s="1">
        <v>1.3</v>
      </c>
    </row>
    <row r="4" spans="1:13" x14ac:dyDescent="0.25">
      <c r="A4" s="5" t="s">
        <v>249</v>
      </c>
      <c r="B4" s="5" t="s">
        <v>249</v>
      </c>
      <c r="C4" s="1">
        <f>Coordinats!A5</f>
        <v>-7.8000000000000007</v>
      </c>
      <c r="D4" s="1">
        <f>Coordinats!B6</f>
        <v>-0.5</v>
      </c>
      <c r="E4" s="1">
        <v>10</v>
      </c>
      <c r="F4" s="1" t="str">
        <f>A20 &amp; "*9 |" &amp; A2 &amp; "*9| " &amp; A3 &amp; "*9,5"</f>
        <v>carrot*9 |hunting*9| wild vegetables*9,5</v>
      </c>
      <c r="G4">
        <f>(9.5*H2 + 9*H3) /2</f>
        <v>8.2115384615384617</v>
      </c>
      <c r="H4">
        <f t="shared" si="0"/>
        <v>0.92115384615384621</v>
      </c>
      <c r="I4">
        <v>1</v>
      </c>
      <c r="J4" s="1" t="str">
        <f>Effects!A$27</f>
        <v>light_storage</v>
      </c>
      <c r="K4" s="1" t="str">
        <f>Effects!A$5 &amp; " &amp; " &amp; Effects!A$18</f>
        <v>butchering &amp; food</v>
      </c>
      <c r="M4" s="1">
        <v>10</v>
      </c>
    </row>
    <row r="5" spans="1:13" x14ac:dyDescent="0.25">
      <c r="A5" s="5" t="s">
        <v>104</v>
      </c>
      <c r="B5" s="5" t="s">
        <v>104</v>
      </c>
      <c r="C5" s="1">
        <f>Coordinats!A6</f>
        <v>-0.80000000000000071</v>
      </c>
      <c r="D5" s="1">
        <f>Coordinats!B7</f>
        <v>6</v>
      </c>
      <c r="E5" s="1">
        <v>13</v>
      </c>
      <c r="F5" s="1" t="str">
        <f>Materials!A2&amp;"*5; "&amp;Materials!A13 &amp; "*2"</f>
        <v>hunting*5; firewood*2</v>
      </c>
      <c r="G5">
        <f>H2*5 + H13 * 2</f>
        <v>6.1400000000000006</v>
      </c>
      <c r="H5" s="11">
        <f t="shared" si="0"/>
        <v>0.5492307692307693</v>
      </c>
      <c r="I5">
        <v>1</v>
      </c>
      <c r="J5" s="1" t="str">
        <f>Effects!A$27</f>
        <v>light_storage</v>
      </c>
      <c r="K5" s="1" t="str">
        <f>Effects!A$20 &amp; " &amp; " &amp; Effects!A$18</f>
        <v>cooking &amp; food</v>
      </c>
      <c r="M5" s="1">
        <v>13</v>
      </c>
    </row>
    <row r="6" spans="1:13" x14ac:dyDescent="0.25">
      <c r="A6" s="5" t="s">
        <v>106</v>
      </c>
      <c r="B6" s="5" t="s">
        <v>106</v>
      </c>
      <c r="C6" s="1">
        <f>Coordinats!A7</f>
        <v>6.1999999999999993</v>
      </c>
      <c r="D6" s="1">
        <f>Coordinats!B7</f>
        <v>6</v>
      </c>
      <c r="E6" s="1">
        <v>20</v>
      </c>
      <c r="F6" s="1" t="str">
        <f>A21 &amp; "*2 |" &amp;A19 &amp; "*3 |" &amp; Materials!A3&amp;"*7; "&amp;Materials!A13 &amp; "*2"</f>
        <v>flour*2 |grain*3 |wild vegetables*7; firewood*2</v>
      </c>
      <c r="G6">
        <f>H3*7 + H13 * 2</f>
        <v>6.5246153846153838</v>
      </c>
      <c r="H6" s="11">
        <f t="shared" si="0"/>
        <v>0.3762307692307692</v>
      </c>
      <c r="I6">
        <v>0.5</v>
      </c>
      <c r="J6" s="1" t="str">
        <f>Effects!A$27</f>
        <v>light_storage</v>
      </c>
      <c r="K6" s="1" t="str">
        <f>Effects!A$20 &amp; " &amp; " &amp; Effects!A$18</f>
        <v>cooking &amp; food</v>
      </c>
      <c r="M6" s="1">
        <v>20</v>
      </c>
    </row>
    <row r="7" spans="1:13" x14ac:dyDescent="0.25">
      <c r="A7" s="5" t="s">
        <v>26</v>
      </c>
      <c r="B7" s="5" t="s">
        <v>26</v>
      </c>
      <c r="C7" s="1">
        <f>Coordinats!A8</f>
        <v>13.2</v>
      </c>
      <c r="D7" s="1">
        <f>Coordinats!A5</f>
        <v>-7.8000000000000007</v>
      </c>
      <c r="E7" s="1">
        <v>0</v>
      </c>
      <c r="F7" s="5"/>
      <c r="G7">
        <v>0</v>
      </c>
      <c r="H7">
        <f t="shared" si="0"/>
        <v>0.2</v>
      </c>
      <c r="I7">
        <v>1</v>
      </c>
      <c r="J7" s="1" t="str">
        <f>Effects!A$27</f>
        <v>light_storage</v>
      </c>
      <c r="K7" s="1" t="str">
        <f>Effects!A$5</f>
        <v>butchering</v>
      </c>
      <c r="M7" s="1">
        <v>5</v>
      </c>
    </row>
    <row r="8" spans="1:13" x14ac:dyDescent="0.25">
      <c r="A8" s="5" t="s">
        <v>27</v>
      </c>
      <c r="B8" s="5" t="s">
        <v>27</v>
      </c>
      <c r="C8" s="1">
        <f>Coordinats!A4</f>
        <v>-14.8</v>
      </c>
      <c r="D8" s="1">
        <f>Coordinats!B$4</f>
        <v>-13.5</v>
      </c>
      <c r="E8" s="1">
        <v>0</v>
      </c>
      <c r="F8" s="1"/>
      <c r="G8">
        <v>0</v>
      </c>
      <c r="H8">
        <f t="shared" si="0"/>
        <v>0.2</v>
      </c>
      <c r="I8">
        <v>1</v>
      </c>
      <c r="J8" s="1" t="str">
        <f>Effects!A$27</f>
        <v>light_storage</v>
      </c>
      <c r="K8" s="1" t="str">
        <f>Effects!A$5</f>
        <v>butchering</v>
      </c>
      <c r="M8" s="1">
        <v>5</v>
      </c>
    </row>
    <row r="9" spans="1:13" x14ac:dyDescent="0.25">
      <c r="A9" s="5" t="s">
        <v>5</v>
      </c>
      <c r="B9" s="5" t="s">
        <v>5</v>
      </c>
      <c r="C9" s="1">
        <f>Coordinats!A5</f>
        <v>-7.8000000000000007</v>
      </c>
      <c r="D9" s="1">
        <f>Coordinats!B7</f>
        <v>6</v>
      </c>
      <c r="E9" s="1">
        <v>1</v>
      </c>
      <c r="F9" s="1" t="str">
        <f>Resources!H4</f>
        <v>stone deposit</v>
      </c>
      <c r="G9">
        <v>0</v>
      </c>
      <c r="H9">
        <f t="shared" si="0"/>
        <v>1</v>
      </c>
      <c r="I9">
        <v>1</v>
      </c>
      <c r="J9" s="1" t="str">
        <f>Effects!A$28</f>
        <v>heavy_storage</v>
      </c>
      <c r="K9" s="1" t="str">
        <f>Effects!A$3</f>
        <v>harvesting</v>
      </c>
      <c r="M9" s="1">
        <v>1</v>
      </c>
    </row>
    <row r="10" spans="1:13" x14ac:dyDescent="0.25">
      <c r="A10" s="5" t="s">
        <v>11</v>
      </c>
      <c r="B10" s="5" t="s">
        <v>11</v>
      </c>
      <c r="C10" s="1">
        <f>Coordinats!A4</f>
        <v>-14.8</v>
      </c>
      <c r="D10" s="1">
        <f>Coordinats!B6</f>
        <v>-0.5</v>
      </c>
      <c r="E10" s="1">
        <v>5</v>
      </c>
      <c r="F10" s="1" t="str">
        <f>Resources!A5</f>
        <v>swamp thing</v>
      </c>
      <c r="G10">
        <v>0</v>
      </c>
      <c r="H10">
        <f t="shared" si="0"/>
        <v>0.2</v>
      </c>
      <c r="I10">
        <v>1</v>
      </c>
      <c r="J10" s="1" t="str">
        <f>Effects!A$27</f>
        <v>light_storage</v>
      </c>
      <c r="K10" s="1" t="str">
        <f>Effects!A$3</f>
        <v>harvesting</v>
      </c>
      <c r="M10" s="1">
        <v>5</v>
      </c>
    </row>
    <row r="11" spans="1:13" x14ac:dyDescent="0.25">
      <c r="A11" s="5" t="s">
        <v>6</v>
      </c>
      <c r="B11" s="5" t="s">
        <v>6</v>
      </c>
      <c r="C11" s="1">
        <f>Coordinats!A7</f>
        <v>6.1999999999999993</v>
      </c>
      <c r="D11" s="1">
        <f>Coordinats!B6</f>
        <v>-0.5</v>
      </c>
      <c r="E11" s="1">
        <v>2.5</v>
      </c>
      <c r="F11" s="5">
        <v>0</v>
      </c>
      <c r="G11">
        <v>0</v>
      </c>
      <c r="H11">
        <f t="shared" si="0"/>
        <v>1</v>
      </c>
      <c r="I11">
        <v>1</v>
      </c>
      <c r="J11" s="1" t="str">
        <f>Effects!A$27</f>
        <v>light_storage</v>
      </c>
      <c r="K11" s="1" t="str">
        <f>Effects!A$3</f>
        <v>harvesting</v>
      </c>
      <c r="M11" s="1">
        <v>1</v>
      </c>
    </row>
    <row r="12" spans="1:13" x14ac:dyDescent="0.25">
      <c r="A12" s="5" t="s">
        <v>12</v>
      </c>
      <c r="B12" s="5" t="s">
        <v>12</v>
      </c>
      <c r="C12" s="1">
        <f>Coordinats!A9</f>
        <v>20.2</v>
      </c>
      <c r="D12" s="1">
        <f>Coordinats!B8</f>
        <v>12.5</v>
      </c>
      <c r="E12" s="1" t="str">
        <f>A12 &amp; "*" &amp; M12 &amp;"; " &amp;A11 &amp; "*3"&amp;"; " &amp;A13 &amp; "*2"</f>
        <v>log*0.25; stick*3; firewood*2</v>
      </c>
      <c r="F12" s="1" t="str">
        <f>Resources!A3</f>
        <v>forest</v>
      </c>
      <c r="G12">
        <v>0</v>
      </c>
      <c r="H12">
        <f t="shared" si="0"/>
        <v>4</v>
      </c>
      <c r="I12">
        <v>10</v>
      </c>
      <c r="J12" s="1" t="str">
        <f>Effects!A$28</f>
        <v>heavy_storage</v>
      </c>
      <c r="K12" s="1" t="str">
        <f>Effects!A$7</f>
        <v>log_cutting</v>
      </c>
      <c r="M12" s="1">
        <v>0.25</v>
      </c>
    </row>
    <row r="13" spans="1:13" x14ac:dyDescent="0.25">
      <c r="A13" s="5" t="s">
        <v>132</v>
      </c>
      <c r="B13" s="5" t="s">
        <v>132</v>
      </c>
      <c r="C13" s="1">
        <f>Coordinats!$A$6</f>
        <v>-0.80000000000000071</v>
      </c>
      <c r="D13" s="1">
        <f>Coordinats!$B$8</f>
        <v>12.5</v>
      </c>
      <c r="E13" s="1">
        <v>10</v>
      </c>
      <c r="F13" s="1" t="str">
        <f>A11 &amp; "*9| " &amp; A12 &amp; "*0,1"</f>
        <v>stick*9| log*0,1</v>
      </c>
      <c r="G13">
        <f>(9*H11 + 0.1*H12) /2</f>
        <v>4.7</v>
      </c>
      <c r="H13">
        <f t="shared" si="0"/>
        <v>0.57000000000000006</v>
      </c>
      <c r="I13">
        <v>1</v>
      </c>
      <c r="J13" s="1" t="str">
        <f>Effects!A$27</f>
        <v>light_storage</v>
      </c>
      <c r="K13" s="1" t="str">
        <f>Effects!A$3</f>
        <v>harvesting</v>
      </c>
      <c r="M13" s="1">
        <v>10</v>
      </c>
    </row>
    <row r="14" spans="1:13" x14ac:dyDescent="0.25">
      <c r="A14" s="5" t="s">
        <v>17</v>
      </c>
      <c r="B14" s="5" t="s">
        <v>17</v>
      </c>
      <c r="C14" s="1">
        <f>Coordinats!A6</f>
        <v>-0.80000000000000071</v>
      </c>
      <c r="D14" s="1">
        <f>Coordinats!B4</f>
        <v>-13.5</v>
      </c>
      <c r="E14" s="1">
        <v>1</v>
      </c>
      <c r="F14" s="5" t="str">
        <f>A8 &amp; "*0,5"</f>
        <v>fur*0,5</v>
      </c>
      <c r="G14">
        <f>0.5*H8</f>
        <v>0.1</v>
      </c>
      <c r="H14">
        <f t="shared" si="0"/>
        <v>1.1000000000000001</v>
      </c>
      <c r="I14">
        <v>1</v>
      </c>
      <c r="J14" s="1" t="str">
        <f>Effects!A$27</f>
        <v>light_storage</v>
      </c>
      <c r="K14" s="1" t="str">
        <f>Effects!A$6</f>
        <v>sewing</v>
      </c>
      <c r="M14" s="1">
        <v>1</v>
      </c>
    </row>
    <row r="15" spans="1:13" x14ac:dyDescent="0.25">
      <c r="A15" s="5" t="s">
        <v>101</v>
      </c>
      <c r="B15" s="5" t="s">
        <v>101</v>
      </c>
      <c r="C15" s="1">
        <f>Coordinats!A3</f>
        <v>-21.8</v>
      </c>
      <c r="D15" s="1">
        <f>Coordinats!B7</f>
        <v>6</v>
      </c>
      <c r="E15" s="1">
        <v>1</v>
      </c>
      <c r="F15" s="1" t="str">
        <f>Resources!H3</f>
        <v>clay deposit</v>
      </c>
      <c r="G15">
        <v>0</v>
      </c>
      <c r="H15" s="11">
        <f t="shared" si="0"/>
        <v>1</v>
      </c>
      <c r="I15">
        <v>1</v>
      </c>
      <c r="J15" s="1" t="str">
        <f>Effects!A$28</f>
        <v>heavy_storage</v>
      </c>
      <c r="K15" s="1" t="s">
        <v>102</v>
      </c>
      <c r="M15" s="1">
        <v>1</v>
      </c>
    </row>
    <row r="16" spans="1:13" x14ac:dyDescent="0.25">
      <c r="A16" s="5" t="s">
        <v>103</v>
      </c>
      <c r="B16" s="5" t="s">
        <v>103</v>
      </c>
      <c r="C16" s="1">
        <v>1</v>
      </c>
      <c r="D16" s="1">
        <v>1</v>
      </c>
      <c r="E16" s="1">
        <v>1</v>
      </c>
      <c r="F16" s="1" t="str">
        <f>A9 &amp; "*1,5| " &amp; A15 &amp; "*1"</f>
        <v>stone*1,5| clay*1</v>
      </c>
      <c r="G16">
        <f>(1.5*H9+ 1*H15) /2</f>
        <v>1.25</v>
      </c>
      <c r="H16" s="11">
        <f t="shared" si="0"/>
        <v>22.5</v>
      </c>
      <c r="I16">
        <v>1</v>
      </c>
      <c r="J16" s="1" t="str">
        <f>Effects!A$28</f>
        <v>heavy_storage</v>
      </c>
      <c r="K16" s="1" t="str">
        <f>Effects!A8</f>
        <v>masonry</v>
      </c>
      <c r="M16" s="1">
        <v>0.1</v>
      </c>
    </row>
    <row r="17" spans="1:14" x14ac:dyDescent="0.25">
      <c r="A17" s="5" t="s">
        <v>133</v>
      </c>
      <c r="B17" s="5" t="s">
        <v>133</v>
      </c>
      <c r="C17" s="1">
        <f>Coordinats!$A$3</f>
        <v>-21.8</v>
      </c>
      <c r="D17" s="1">
        <f>Coordinats!$B$2</f>
        <v>-26.5</v>
      </c>
      <c r="E17" s="1" t="str">
        <f>Resources!H6 &amp; "*" &amp; M17 &amp;"; " &amp;A20 &amp; "*6"</f>
        <v>empty field*0.1; carrot*6</v>
      </c>
      <c r="F17" s="1" t="str">
        <f>Processes!A3 &amp; "*0,1"</f>
        <v>carrot field*0,1</v>
      </c>
      <c r="G17">
        <v>0</v>
      </c>
      <c r="H17" s="11">
        <f t="shared" si="0"/>
        <v>10</v>
      </c>
      <c r="I17">
        <v>1</v>
      </c>
      <c r="J17" s="5" t="s">
        <v>40</v>
      </c>
      <c r="K17" s="1" t="str">
        <f>Effects!A$3</f>
        <v>harvesting</v>
      </c>
      <c r="M17" s="1">
        <v>0.1</v>
      </c>
      <c r="N17" t="s">
        <v>153</v>
      </c>
    </row>
    <row r="18" spans="1:14" x14ac:dyDescent="0.25">
      <c r="A18" s="5" t="s">
        <v>134</v>
      </c>
      <c r="B18" s="5" t="s">
        <v>134</v>
      </c>
      <c r="C18" s="1">
        <f>Coordinats!$A$3</f>
        <v>-21.8</v>
      </c>
      <c r="D18" s="1">
        <f>Coordinats!$B$3</f>
        <v>-20</v>
      </c>
      <c r="E18" s="1" t="str">
        <f>Resources!H6 &amp; "*" &amp; M18 &amp;"; " &amp;A19 &amp; "*8"</f>
        <v>empty field*0.1; grain*8</v>
      </c>
      <c r="F18" s="5" t="str">
        <f xml:space="preserve"> Processes!A2 &amp; "*0,1"</f>
        <v>wheat field*0,1</v>
      </c>
      <c r="G18">
        <v>0</v>
      </c>
      <c r="H18" s="11">
        <f t="shared" si="0"/>
        <v>10</v>
      </c>
      <c r="I18">
        <v>1</v>
      </c>
      <c r="J18" s="5" t="s">
        <v>40</v>
      </c>
      <c r="K18" s="1" t="str">
        <f>Effects!A$3</f>
        <v>harvesting</v>
      </c>
      <c r="M18" s="1">
        <v>0.1</v>
      </c>
    </row>
    <row r="19" spans="1:14" x14ac:dyDescent="0.25">
      <c r="A19" s="5" t="s">
        <v>130</v>
      </c>
      <c r="B19" s="5" t="s">
        <v>130</v>
      </c>
      <c r="C19" s="1">
        <f>Coordinats!$A$3</f>
        <v>-21.8</v>
      </c>
      <c r="D19" s="1">
        <f>Coordinats!$B$5</f>
        <v>-7</v>
      </c>
      <c r="E19" s="1">
        <f>M19</f>
        <v>1</v>
      </c>
      <c r="F19" s="1" t="str">
        <f>A3</f>
        <v>wild vegetables</v>
      </c>
      <c r="G19">
        <f>H3</f>
        <v>0.76923076923076916</v>
      </c>
      <c r="H19" s="11">
        <f t="shared" ref="H19:H25" si="1">(1+G19 )/M19</f>
        <v>1.7692307692307692</v>
      </c>
      <c r="I19">
        <v>1</v>
      </c>
      <c r="J19" s="1" t="str">
        <f>Effects!A$27</f>
        <v>light_storage</v>
      </c>
      <c r="K19" s="1" t="str">
        <f>Effects!A$3</f>
        <v>harvesting</v>
      </c>
      <c r="M19" s="1">
        <v>1</v>
      </c>
    </row>
    <row r="20" spans="1:14" x14ac:dyDescent="0.25">
      <c r="A20" s="5" t="s">
        <v>128</v>
      </c>
      <c r="B20" s="5" t="s">
        <v>128</v>
      </c>
      <c r="C20" s="1">
        <f>Coordinats!$A$2</f>
        <v>-28.8</v>
      </c>
      <c r="D20" s="1">
        <f>Coordinats!$B$2</f>
        <v>-26.5</v>
      </c>
      <c r="E20" s="1">
        <f>M20</f>
        <v>1</v>
      </c>
      <c r="F20" s="1" t="str">
        <f xml:space="preserve"> A3</f>
        <v>wild vegetables</v>
      </c>
      <c r="G20">
        <f>H3</f>
        <v>0.76923076923076916</v>
      </c>
      <c r="H20" s="11">
        <f t="shared" si="1"/>
        <v>1.7692307692307692</v>
      </c>
      <c r="I20">
        <v>1</v>
      </c>
      <c r="J20" s="1" t="str">
        <f>Effects!A$27</f>
        <v>light_storage</v>
      </c>
      <c r="K20" s="1" t="str">
        <f>Effects!A$3</f>
        <v>harvesting</v>
      </c>
      <c r="M20" s="1">
        <v>1</v>
      </c>
    </row>
    <row r="21" spans="1:14" x14ac:dyDescent="0.25">
      <c r="A21" s="5" t="s">
        <v>147</v>
      </c>
      <c r="B21" s="5" t="s">
        <v>147</v>
      </c>
      <c r="C21" s="1">
        <f>Coordinats!$A$3</f>
        <v>-21.8</v>
      </c>
      <c r="D21" s="1">
        <f>Coordinats!$B$4</f>
        <v>-13.5</v>
      </c>
      <c r="E21" s="1">
        <f>M21</f>
        <v>1</v>
      </c>
      <c r="F21" s="5" t="str">
        <f xml:space="preserve"> A19</f>
        <v>grain</v>
      </c>
      <c r="G21">
        <f>H19</f>
        <v>1.7692307692307692</v>
      </c>
      <c r="H21" s="11">
        <f t="shared" si="1"/>
        <v>2.7692307692307692</v>
      </c>
      <c r="I21">
        <v>1</v>
      </c>
      <c r="J21" s="5" t="str">
        <f>Effects!A$27</f>
        <v>light_storage</v>
      </c>
      <c r="K21" s="1" t="str">
        <f>Effects!A$24</f>
        <v>milling</v>
      </c>
      <c r="M21" s="1">
        <v>1</v>
      </c>
    </row>
    <row r="22" spans="1:14" x14ac:dyDescent="0.25">
      <c r="A22" s="7" t="s">
        <v>222</v>
      </c>
      <c r="B22" s="7" t="s">
        <v>172</v>
      </c>
      <c r="C22" s="9">
        <v>1</v>
      </c>
      <c r="D22" s="9">
        <v>1</v>
      </c>
      <c r="E22" s="9">
        <v>0</v>
      </c>
      <c r="F22" s="7"/>
      <c r="G22" s="6">
        <v>0</v>
      </c>
      <c r="H22" s="10">
        <f t="shared" si="1"/>
        <v>1</v>
      </c>
      <c r="I22" s="6">
        <v>0.1</v>
      </c>
      <c r="J22" s="5" t="str">
        <f>Effects!A$27</f>
        <v>light_storage</v>
      </c>
      <c r="K22" s="1" t="str">
        <f>Effects!A$5</f>
        <v>butchering</v>
      </c>
      <c r="M22" s="1">
        <v>1</v>
      </c>
    </row>
    <row r="23" spans="1:14" x14ac:dyDescent="0.25">
      <c r="A23" s="7" t="s">
        <v>223</v>
      </c>
      <c r="B23" s="7" t="s">
        <v>180</v>
      </c>
      <c r="C23" s="9">
        <v>1</v>
      </c>
      <c r="D23" s="9">
        <v>1</v>
      </c>
      <c r="E23" s="9">
        <v>10</v>
      </c>
      <c r="F23" s="1" t="str">
        <f>A3 &amp; "*1 |" &amp;A4 &amp; "*1 |" &amp; Materials!A20&amp;"*2| "&amp;Materials!A5 &amp; "*1| "&amp;Materials!A6 &amp; "*1"</f>
        <v>wild vegetables*1 |clean vegetables*1 |carrot*2| smoked food*1| soup*1</v>
      </c>
      <c r="G23" s="6">
        <v>0</v>
      </c>
      <c r="H23" s="10">
        <f t="shared" si="1"/>
        <v>0.1</v>
      </c>
      <c r="I23" s="6">
        <v>1</v>
      </c>
      <c r="J23" s="5" t="str">
        <f>Effects!A$27</f>
        <v>light_storage</v>
      </c>
      <c r="K23" s="1" t="str">
        <f>Effects!A$20 &amp; " &amp; " &amp; Effects!A$17</f>
        <v>cooking &amp; animal_food</v>
      </c>
      <c r="M23" s="1">
        <v>10</v>
      </c>
    </row>
    <row r="24" spans="1:14" x14ac:dyDescent="0.25">
      <c r="A24" s="7" t="s">
        <v>224</v>
      </c>
      <c r="B24" s="7" t="s">
        <v>192</v>
      </c>
      <c r="C24" s="9">
        <v>1</v>
      </c>
      <c r="D24" s="9">
        <v>1</v>
      </c>
      <c r="E24" s="9">
        <v>10</v>
      </c>
      <c r="F24" s="9" t="str">
        <f>Resources!A6</f>
        <v>-grass</v>
      </c>
      <c r="G24" s="6">
        <v>0</v>
      </c>
      <c r="H24" s="10">
        <f t="shared" si="1"/>
        <v>0.1</v>
      </c>
      <c r="I24" s="6">
        <v>1</v>
      </c>
      <c r="J24" s="5" t="str">
        <f>Effects!A$27</f>
        <v>light_storage</v>
      </c>
      <c r="K24" s="1" t="str">
        <f>Effects!A$3</f>
        <v>harvesting</v>
      </c>
      <c r="M24" s="1">
        <v>10</v>
      </c>
    </row>
    <row r="25" spans="1:14" x14ac:dyDescent="0.25">
      <c r="A25" s="7" t="s">
        <v>225</v>
      </c>
      <c r="B25" s="7" t="s">
        <v>193</v>
      </c>
      <c r="C25" s="9">
        <v>1</v>
      </c>
      <c r="D25" s="9">
        <v>1</v>
      </c>
      <c r="E25" s="9">
        <v>1</v>
      </c>
      <c r="F25" s="9" t="str">
        <f>A24 &amp; "*25"</f>
        <v>-straw*25</v>
      </c>
      <c r="G25" s="6">
        <f>25*H24</f>
        <v>2.5</v>
      </c>
      <c r="H25" s="10">
        <f t="shared" si="1"/>
        <v>3.5</v>
      </c>
      <c r="I25" s="6">
        <v>1</v>
      </c>
      <c r="J25" s="5" t="str">
        <f>Effects!A$27</f>
        <v>light_storage</v>
      </c>
      <c r="K25" s="1" t="str">
        <f>Effects!A$6</f>
        <v>sewing</v>
      </c>
      <c r="M25" s="1">
        <v>1</v>
      </c>
    </row>
    <row r="26" spans="1:14" x14ac:dyDescent="0.25">
      <c r="A26" s="7" t="s">
        <v>226</v>
      </c>
      <c r="B26" s="7" t="s">
        <v>200</v>
      </c>
      <c r="C26" s="9">
        <v>1</v>
      </c>
      <c r="D26" s="9">
        <v>1</v>
      </c>
      <c r="E26" s="9">
        <v>1</v>
      </c>
      <c r="F26" s="5"/>
      <c r="G26" s="6">
        <v>0</v>
      </c>
      <c r="H26" s="10">
        <f t="shared" ref="H26:H27" si="2">(1+G26 )/M26</f>
        <v>0.1</v>
      </c>
      <c r="I26" s="6">
        <v>1</v>
      </c>
      <c r="J26" s="5" t="str">
        <f>Effects!A$27</f>
        <v>light_storage</v>
      </c>
      <c r="K26" s="1" t="str">
        <f>Effects!A$20 &amp; " &amp; " &amp; Effects!A$17</f>
        <v>cooking &amp; animal_food</v>
      </c>
      <c r="M26" s="1">
        <v>10</v>
      </c>
    </row>
    <row r="27" spans="1:14" x14ac:dyDescent="0.25">
      <c r="A27" s="7" t="s">
        <v>227</v>
      </c>
      <c r="B27" s="7" t="s">
        <v>201</v>
      </c>
      <c r="C27" s="9">
        <v>1</v>
      </c>
      <c r="D27" s="9">
        <v>1</v>
      </c>
      <c r="E27" s="9">
        <v>1</v>
      </c>
      <c r="F27" s="5"/>
      <c r="G27" s="6">
        <v>0</v>
      </c>
      <c r="H27" s="10">
        <f t="shared" si="2"/>
        <v>0.1</v>
      </c>
      <c r="I27" s="6">
        <v>1</v>
      </c>
      <c r="J27" s="5" t="str">
        <f>Effects!A$27</f>
        <v>light_storage</v>
      </c>
      <c r="K27" s="1" t="str">
        <f>Effects!A$20 &amp; " &amp; " &amp; Effects!A$17</f>
        <v>cooking &amp; animal_food</v>
      </c>
      <c r="M27" s="1">
        <v>10</v>
      </c>
    </row>
    <row r="28" spans="1:14" x14ac:dyDescent="0.25">
      <c r="A28" s="7" t="s">
        <v>228</v>
      </c>
      <c r="B28" s="7" t="s">
        <v>203</v>
      </c>
      <c r="C28" s="9">
        <v>1</v>
      </c>
      <c r="D28" s="9">
        <v>1</v>
      </c>
      <c r="E28" s="9">
        <v>1</v>
      </c>
      <c r="F28" s="7"/>
      <c r="G28" s="6">
        <v>0</v>
      </c>
      <c r="H28" s="10">
        <f>(1+G28 )/M28</f>
        <v>1</v>
      </c>
      <c r="I28" s="6">
        <v>1</v>
      </c>
      <c r="J28" s="5" t="str">
        <f>Effects!A$27</f>
        <v>light_storage</v>
      </c>
      <c r="K28" s="1" t="str">
        <f>Effects!A$6</f>
        <v>sewing</v>
      </c>
      <c r="M28" s="1">
        <v>1</v>
      </c>
    </row>
  </sheetData>
  <dataValidations count="1">
    <dataValidation type="list" allowBlank="1" showInputMessage="1" showErrorMessage="1" sqref="J2:J28" xr:uid="{00000000-0002-0000-04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M4"/>
  <sheetViews>
    <sheetView workbookViewId="0">
      <selection activeCell="A4" sqref="A4"/>
    </sheetView>
  </sheetViews>
  <sheetFormatPr defaultRowHeight="15" x14ac:dyDescent="0.25"/>
  <cols>
    <col min="1" max="1" width="11.140625" bestFit="1" customWidth="1"/>
    <col min="2" max="2" width="13.28515625" customWidth="1"/>
    <col min="3" max="4" width="11.28515625" customWidth="1"/>
    <col min="5" max="5" width="20.5703125" customWidth="1"/>
    <col min="6" max="6" width="36.28515625" customWidth="1"/>
    <col min="7" max="7" width="17" customWidth="1"/>
    <col min="8" max="8" width="11.140625" customWidth="1"/>
    <col min="9" max="9" width="11.5703125" customWidth="1"/>
    <col min="10" max="10" width="16" customWidth="1"/>
    <col min="11" max="11" width="17.85546875" customWidth="1"/>
    <col min="12" max="12" width="11.28515625" customWidth="1"/>
    <col min="13" max="13" width="15.28515625" customWidth="1"/>
  </cols>
  <sheetData>
    <row r="1" spans="1:13" x14ac:dyDescent="0.25">
      <c r="A1" s="14" t="s">
        <v>0</v>
      </c>
      <c r="B1" s="15" t="s">
        <v>98</v>
      </c>
      <c r="C1" s="15" t="s">
        <v>96</v>
      </c>
      <c r="D1" s="15" t="s">
        <v>97</v>
      </c>
      <c r="E1" s="15" t="s">
        <v>71</v>
      </c>
      <c r="F1" s="15" t="s">
        <v>1</v>
      </c>
      <c r="G1" s="15" t="s">
        <v>2</v>
      </c>
      <c r="H1" s="15" t="s">
        <v>3</v>
      </c>
      <c r="I1" s="15" t="s">
        <v>25</v>
      </c>
      <c r="J1" s="15" t="s">
        <v>75</v>
      </c>
      <c r="K1" s="19" t="s">
        <v>64</v>
      </c>
      <c r="L1" s="20" t="s">
        <v>125</v>
      </c>
      <c r="M1" s="5"/>
    </row>
    <row r="2" spans="1:13" x14ac:dyDescent="0.25">
      <c r="A2" s="5" t="s">
        <v>136</v>
      </c>
      <c r="B2" s="5" t="s">
        <v>136</v>
      </c>
      <c r="C2" s="1">
        <f>Coordinats!$A$2</f>
        <v>-28.8</v>
      </c>
      <c r="D2" s="1">
        <f>Coordinats!$B$3</f>
        <v>-20</v>
      </c>
      <c r="E2" s="5">
        <v>0.1</v>
      </c>
      <c r="F2" s="1" t="str">
        <f>Processes!A$4&amp;"*0,1; "&amp; Materials!A19 &amp; "*1"</f>
        <v>farm field*0,1; grain*1</v>
      </c>
      <c r="G2" s="17">
        <f>0.1*Processes!H4</f>
        <v>1</v>
      </c>
      <c r="H2" s="18">
        <f>(1+G2 )/E2</f>
        <v>20</v>
      </c>
      <c r="I2">
        <v>1</v>
      </c>
      <c r="J2" s="5" t="str">
        <f>Effects!A$29</f>
        <v>territory</v>
      </c>
      <c r="K2" s="5" t="str">
        <f>Effects!A23</f>
        <v>sow</v>
      </c>
      <c r="L2">
        <v>90</v>
      </c>
    </row>
    <row r="3" spans="1:13" x14ac:dyDescent="0.25">
      <c r="A3" s="5" t="s">
        <v>137</v>
      </c>
      <c r="B3" s="5" t="s">
        <v>137</v>
      </c>
      <c r="C3" s="1">
        <f>Coordinats!$A$4</f>
        <v>-14.8</v>
      </c>
      <c r="D3" s="1">
        <f>Coordinats!$B$2</f>
        <v>-26.5</v>
      </c>
      <c r="E3" s="5">
        <v>0.1</v>
      </c>
      <c r="F3" s="1" t="str">
        <f>Processes!A$4&amp;"*0,1; "&amp; Materials!A20 &amp; "*1"</f>
        <v>farm field*0,1; carrot*1</v>
      </c>
      <c r="G3" s="17">
        <f>0.1*Processes!H4</f>
        <v>1</v>
      </c>
      <c r="H3" s="18">
        <f>(1+G3 )/E3</f>
        <v>20</v>
      </c>
      <c r="I3">
        <v>1</v>
      </c>
      <c r="J3" s="5" t="str">
        <f>Effects!A$29</f>
        <v>territory</v>
      </c>
      <c r="K3" s="5" t="str">
        <f>Effects!A23</f>
        <v>sow</v>
      </c>
      <c r="L3">
        <v>50</v>
      </c>
      <c r="M3" s="5"/>
    </row>
    <row r="4" spans="1:13" x14ac:dyDescent="0.25">
      <c r="A4" s="7" t="s">
        <v>126</v>
      </c>
      <c r="B4" s="7" t="s">
        <v>126</v>
      </c>
      <c r="C4" s="9">
        <f>Coordinats!$A$2</f>
        <v>-28.8</v>
      </c>
      <c r="D4" s="9">
        <f>Coordinats!$B$4</f>
        <v>-13.5</v>
      </c>
      <c r="E4" s="9">
        <v>0.1</v>
      </c>
      <c r="F4" s="9" t="str">
        <f>Resources!H6 &amp; "*0,1| " &amp; Resources!H5 &amp; "*0,1"</f>
        <v>empty field*0,1| territory*0,1</v>
      </c>
      <c r="G4" s="24">
        <v>0</v>
      </c>
      <c r="H4" s="25">
        <f>(1+G4 )/M4</f>
        <v>10</v>
      </c>
      <c r="I4" s="6">
        <v>1</v>
      </c>
      <c r="J4" s="7" t="s">
        <v>40</v>
      </c>
      <c r="K4" s="9" t="str">
        <f>Effects!A22 &amp; " &amp; " &amp; Effects!A$25</f>
        <v>plowing &amp; grow</v>
      </c>
      <c r="L4" s="6">
        <v>0</v>
      </c>
      <c r="M4" s="1">
        <v>0.1</v>
      </c>
    </row>
  </sheetData>
  <dataValidations count="1">
    <dataValidation type="list" allowBlank="1" showInputMessage="1" showErrorMessage="1" sqref="J2:J4" xr:uid="{00000000-0002-0000-0500-000000000000}">
      <formula1>storageTypes</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O14"/>
  <sheetViews>
    <sheetView workbookViewId="0">
      <selection activeCell="G9" sqref="G9"/>
    </sheetView>
  </sheetViews>
  <sheetFormatPr defaultRowHeight="15" x14ac:dyDescent="0.25"/>
  <cols>
    <col min="1" max="1" width="14.28515625" customWidth="1"/>
    <col min="2" max="2" width="18.140625" customWidth="1"/>
    <col min="3" max="3" width="17.28515625" customWidth="1"/>
    <col min="4" max="4" width="16.85546875" customWidth="1"/>
    <col min="5" max="5" width="27.85546875" customWidth="1"/>
    <col min="6" max="6" width="22.5703125" customWidth="1"/>
    <col min="7" max="7" width="31" customWidth="1"/>
    <col min="8" max="8" width="13.42578125" customWidth="1"/>
    <col min="9" max="9" width="16.7109375" customWidth="1"/>
    <col min="10" max="11" width="12.85546875" customWidth="1"/>
    <col min="12" max="12" width="22.7109375" customWidth="1"/>
    <col min="13" max="13" width="23.28515625" bestFit="1" customWidth="1"/>
    <col min="14" max="14" width="15.5703125" bestFit="1" customWidth="1"/>
    <col min="15" max="15" width="21.7109375" bestFit="1" customWidth="1"/>
  </cols>
  <sheetData>
    <row r="1" spans="1:15" x14ac:dyDescent="0.25">
      <c r="A1" t="s">
        <v>0</v>
      </c>
      <c r="B1" t="s">
        <v>157</v>
      </c>
      <c r="C1" t="s">
        <v>158</v>
      </c>
      <c r="D1" t="s">
        <v>159</v>
      </c>
      <c r="E1" t="s">
        <v>108</v>
      </c>
      <c r="F1" t="s">
        <v>107</v>
      </c>
      <c r="G1" t="s">
        <v>160</v>
      </c>
      <c r="H1" t="s">
        <v>43</v>
      </c>
      <c r="I1" t="s">
        <v>44</v>
      </c>
      <c r="J1" t="s">
        <v>144</v>
      </c>
      <c r="K1" t="s">
        <v>161</v>
      </c>
      <c r="L1" t="s">
        <v>181</v>
      </c>
      <c r="M1" t="s">
        <v>182</v>
      </c>
      <c r="N1" t="s">
        <v>194</v>
      </c>
      <c r="O1" t="s">
        <v>195</v>
      </c>
    </row>
    <row r="2" spans="1:15" x14ac:dyDescent="0.25">
      <c r="A2" s="5" t="s">
        <v>167</v>
      </c>
      <c r="B2" s="5" t="s">
        <v>167</v>
      </c>
      <c r="C2" s="1">
        <f>-12.4</f>
        <v>-12.4</v>
      </c>
      <c r="D2" s="1">
        <v>-14</v>
      </c>
      <c r="E2">
        <v>10</v>
      </c>
      <c r="F2">
        <v>0.01</v>
      </c>
      <c r="G2" s="1" t="str">
        <f>Resources!H$7 &amp; "*" &amp; 10 &amp;"; " &amp;Materials!A$7 &amp; "*7"&amp;"; " &amp;Materials!A$8 &amp; "*4"</f>
        <v>raw meat*10; bone*7; fur*4</v>
      </c>
      <c r="H2">
        <v>30</v>
      </c>
      <c r="I2">
        <v>50</v>
      </c>
      <c r="J2">
        <v>4</v>
      </c>
      <c r="K2">
        <v>0</v>
      </c>
      <c r="L2">
        <v>1</v>
      </c>
      <c r="M2">
        <v>3</v>
      </c>
      <c r="N2" s="5"/>
      <c r="O2">
        <v>0</v>
      </c>
    </row>
    <row r="3" spans="1:15" x14ac:dyDescent="0.25">
      <c r="A3" s="7" t="s">
        <v>166</v>
      </c>
      <c r="B3" s="7" t="s">
        <v>166</v>
      </c>
      <c r="C3" s="1">
        <f>C2 + 1.9</f>
        <v>-10.5</v>
      </c>
      <c r="D3" s="1">
        <v>-14</v>
      </c>
      <c r="E3" s="6">
        <v>500</v>
      </c>
      <c r="F3">
        <v>0.04</v>
      </c>
      <c r="G3" s="1" t="str">
        <f>Resources!H$7 &amp; "*" &amp; 6 &amp;"; " &amp;Materials!A$7 &amp; "*6"&amp;"; " &amp;Materials!A$8 &amp; "*4"</f>
        <v>raw meat*6; bone*6; fur*4</v>
      </c>
      <c r="H3" s="6">
        <v>10</v>
      </c>
      <c r="I3" s="6">
        <v>30</v>
      </c>
      <c r="J3" s="6">
        <v>2</v>
      </c>
      <c r="K3" s="6">
        <v>1</v>
      </c>
      <c r="L3">
        <v>1</v>
      </c>
      <c r="M3">
        <v>5</v>
      </c>
      <c r="N3" s="1" t="str">
        <f>DomesticAnimals!A2</f>
        <v>-pig</v>
      </c>
      <c r="O3">
        <v>0.05</v>
      </c>
    </row>
    <row r="4" spans="1:15" x14ac:dyDescent="0.25">
      <c r="A4" s="5" t="s">
        <v>168</v>
      </c>
      <c r="B4" s="5" t="s">
        <v>168</v>
      </c>
      <c r="C4" s="1">
        <f>C3 + 1.9</f>
        <v>-8.6</v>
      </c>
      <c r="D4" s="1">
        <v>-14</v>
      </c>
      <c r="E4">
        <v>1000</v>
      </c>
      <c r="F4">
        <v>0.15</v>
      </c>
      <c r="G4" s="1" t="str">
        <f>Resources!H$7 &amp; "*" &amp; 1 &amp;"; " &amp;Materials!A$7 &amp; "*1"&amp;"; " &amp;Materials!A$22 &amp; "*10"</f>
        <v>raw meat*1; bone*1; -feather*10</v>
      </c>
      <c r="H4">
        <v>1</v>
      </c>
      <c r="I4">
        <v>2</v>
      </c>
      <c r="J4">
        <v>2</v>
      </c>
      <c r="K4">
        <v>10</v>
      </c>
      <c r="L4">
        <v>3</v>
      </c>
      <c r="M4">
        <v>10</v>
      </c>
      <c r="N4" s="1" t="str">
        <f>DomesticAnimals!A4</f>
        <v>-hen</v>
      </c>
      <c r="O4">
        <v>1</v>
      </c>
    </row>
    <row r="5" spans="1:15" x14ac:dyDescent="0.25">
      <c r="A5" s="5" t="s">
        <v>169</v>
      </c>
      <c r="B5" s="5" t="s">
        <v>169</v>
      </c>
      <c r="C5" s="1">
        <f>C4 + 1.9</f>
        <v>-6.6999999999999993</v>
      </c>
      <c r="D5" s="1">
        <v>-14</v>
      </c>
      <c r="E5">
        <v>1000</v>
      </c>
      <c r="F5">
        <v>7.0000000000000007E-2</v>
      </c>
      <c r="G5" s="1" t="str">
        <f>Resources!H$7 &amp; "*" &amp; 2 &amp;"; " &amp;Materials!A$7 &amp; "*1"&amp;"; " &amp;Materials!A$8 &amp; "*1"</f>
        <v>raw meat*2; bone*1; fur*1</v>
      </c>
      <c r="H5">
        <v>1</v>
      </c>
      <c r="I5">
        <v>4</v>
      </c>
      <c r="J5">
        <v>4</v>
      </c>
      <c r="K5">
        <v>10</v>
      </c>
      <c r="L5">
        <v>5</v>
      </c>
      <c r="M5">
        <v>10</v>
      </c>
      <c r="N5" s="1" t="str">
        <f>DomesticAnimals!A3</f>
        <v>-rabbit</v>
      </c>
      <c r="O5">
        <v>0.75</v>
      </c>
    </row>
    <row r="6" spans="1:15" x14ac:dyDescent="0.25">
      <c r="A6" s="5" t="s">
        <v>170</v>
      </c>
      <c r="B6" s="5" t="s">
        <v>170</v>
      </c>
      <c r="C6" s="1">
        <f>C5 + 1.9</f>
        <v>-4.7999999999999989</v>
      </c>
      <c r="D6" s="1">
        <v>-14</v>
      </c>
      <c r="E6">
        <v>100</v>
      </c>
      <c r="F6">
        <v>0.02</v>
      </c>
      <c r="G6" s="1" t="str">
        <f>Resources!H$7 &amp; "*" &amp; 10 &amp;"; " &amp;Materials!A$7 &amp; "*7"&amp;"; " &amp;Materials!A$8 &amp; "*10"</f>
        <v>raw meat*10; bone*7; fur*10</v>
      </c>
      <c r="H6">
        <v>4</v>
      </c>
      <c r="I6">
        <v>25</v>
      </c>
      <c r="J6">
        <v>4</v>
      </c>
      <c r="K6">
        <v>4</v>
      </c>
      <c r="L6">
        <v>3</v>
      </c>
      <c r="M6">
        <v>10</v>
      </c>
      <c r="N6" s="1" t="str">
        <f>DomesticAnimals!A5</f>
        <v>-cow</v>
      </c>
      <c r="O6">
        <v>0.25</v>
      </c>
    </row>
    <row r="7" spans="1:15" x14ac:dyDescent="0.25">
      <c r="A7" s="5" t="s">
        <v>171</v>
      </c>
      <c r="B7" s="5" t="s">
        <v>171</v>
      </c>
      <c r="C7" s="1">
        <f>C6 + 1.9</f>
        <v>-2.899999999999999</v>
      </c>
      <c r="D7" s="1">
        <v>-14</v>
      </c>
      <c r="E7">
        <v>100</v>
      </c>
      <c r="F7">
        <v>0.02</v>
      </c>
      <c r="G7" s="1" t="str">
        <f>Resources!H$7 &amp; "*" &amp; 7 &amp;"; " &amp;Materials!A$7 &amp; "*10"&amp;"; " &amp;Materials!A$8 &amp; "*10"</f>
        <v>raw meat*7; bone*10; fur*10</v>
      </c>
      <c r="H7">
        <v>3</v>
      </c>
      <c r="I7">
        <v>20</v>
      </c>
      <c r="J7">
        <v>7</v>
      </c>
      <c r="K7">
        <v>4</v>
      </c>
      <c r="L7">
        <v>2</v>
      </c>
      <c r="M7">
        <v>7</v>
      </c>
      <c r="N7" s="1" t="str">
        <f>DomesticAnimals!A6</f>
        <v>-horse</v>
      </c>
      <c r="O7">
        <v>0.1</v>
      </c>
    </row>
    <row r="8" spans="1:15" x14ac:dyDescent="0.25">
      <c r="A8" s="7" t="s">
        <v>202</v>
      </c>
      <c r="B8" s="7" t="s">
        <v>202</v>
      </c>
      <c r="C8" s="1">
        <f>-14.3</f>
        <v>-14.3</v>
      </c>
      <c r="D8" s="1">
        <v>-14</v>
      </c>
      <c r="E8" s="6">
        <v>500</v>
      </c>
      <c r="F8" s="6">
        <v>0.04</v>
      </c>
      <c r="G8" s="30" t="str">
        <f>Resources!H$7 &amp; "*" &amp; 6 &amp;"; " &amp;Materials!A$7 &amp; "*6"&amp;"; " &amp;Materials!A$8 &amp; "*4"</f>
        <v>raw meat*6; bone*6; fur*4</v>
      </c>
      <c r="H8" s="6">
        <v>4</v>
      </c>
      <c r="I8" s="6">
        <v>10</v>
      </c>
      <c r="J8" s="6">
        <v>7</v>
      </c>
      <c r="K8" s="6">
        <v>6</v>
      </c>
      <c r="L8" s="6">
        <v>2</v>
      </c>
      <c r="M8" s="6">
        <v>10</v>
      </c>
      <c r="N8" s="1" t="str">
        <f>DomesticAnimals!A7</f>
        <v>-sheep</v>
      </c>
      <c r="O8" s="6">
        <v>0.25</v>
      </c>
    </row>
    <row r="9" spans="1:15" x14ac:dyDescent="0.25">
      <c r="G9" s="1"/>
    </row>
    <row r="10" spans="1:15" x14ac:dyDescent="0.25">
      <c r="G10" s="1"/>
    </row>
    <row r="11" spans="1:15" x14ac:dyDescent="0.25">
      <c r="G11" s="1"/>
    </row>
    <row r="12" spans="1:15" x14ac:dyDescent="0.25">
      <c r="G12" s="1"/>
    </row>
    <row r="13" spans="1:15" x14ac:dyDescent="0.25">
      <c r="G13" s="1"/>
    </row>
    <row r="14" spans="1:15" x14ac:dyDescent="0.25">
      <c r="A14" s="6"/>
      <c r="B14" s="6"/>
      <c r="C14" s="6"/>
      <c r="D14" s="6"/>
      <c r="E14" s="6"/>
      <c r="F14" s="6"/>
      <c r="G14" s="9"/>
      <c r="H14" s="6"/>
      <c r="I14" s="6"/>
      <c r="J14" s="6"/>
      <c r="K14" s="6"/>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N7"/>
  <sheetViews>
    <sheetView workbookViewId="0">
      <selection activeCell="A8" sqref="A8"/>
    </sheetView>
  </sheetViews>
  <sheetFormatPr defaultRowHeight="15" x14ac:dyDescent="0.25"/>
  <cols>
    <col min="1" max="1" width="11.85546875" style="5" customWidth="1"/>
    <col min="2" max="2" width="17" style="5" customWidth="1"/>
    <col min="3" max="4" width="11.85546875" customWidth="1"/>
    <col min="5" max="5" width="22.5703125" customWidth="1"/>
    <col min="6" max="6" width="23.140625" customWidth="1"/>
    <col min="7" max="7" width="31.7109375" customWidth="1"/>
    <col min="8" max="8" width="14.7109375" customWidth="1"/>
    <col min="9" max="9" width="14.85546875" customWidth="1"/>
    <col min="10" max="10" width="20.28515625" customWidth="1"/>
    <col min="11" max="11" width="19.85546875" customWidth="1"/>
    <col min="12" max="12" width="15.5703125" customWidth="1"/>
    <col min="13" max="13" width="19.85546875" customWidth="1"/>
    <col min="14" max="14" width="12.85546875" customWidth="1"/>
  </cols>
  <sheetData>
    <row r="1" spans="1:14" x14ac:dyDescent="0.25">
      <c r="A1" s="5" t="s">
        <v>0</v>
      </c>
      <c r="B1" s="5" t="s">
        <v>157</v>
      </c>
      <c r="C1" t="s">
        <v>158</v>
      </c>
      <c r="D1" t="s">
        <v>159</v>
      </c>
      <c r="E1" t="s">
        <v>108</v>
      </c>
      <c r="F1" t="s">
        <v>107</v>
      </c>
      <c r="G1" t="s">
        <v>160</v>
      </c>
      <c r="H1" t="s">
        <v>162</v>
      </c>
      <c r="I1" t="s">
        <v>163</v>
      </c>
      <c r="J1" t="s">
        <v>164</v>
      </c>
      <c r="K1" t="s">
        <v>165</v>
      </c>
    </row>
    <row r="2" spans="1:14" x14ac:dyDescent="0.25">
      <c r="A2" s="5" t="s">
        <v>229</v>
      </c>
      <c r="B2" s="5" t="s">
        <v>178</v>
      </c>
      <c r="C2" s="1">
        <v>1</v>
      </c>
      <c r="D2" s="1">
        <v>1</v>
      </c>
      <c r="E2">
        <v>10</v>
      </c>
      <c r="F2">
        <v>0.05</v>
      </c>
      <c r="G2" s="1" t="str">
        <f>Materials!A$4 &amp; "*" &amp; 6 &amp;"; " &amp;Materials!A$7 &amp; "*6"&amp;"; " &amp;Materials!A$8 &amp; "*4"</f>
        <v>clean vegetables*6; bone*6; fur*4</v>
      </c>
      <c r="H2" s="1" t="str">
        <f>Materials!A23 &amp; "*1"</f>
        <v>-pig food*1</v>
      </c>
      <c r="I2" s="5" t="s">
        <v>154</v>
      </c>
      <c r="J2" s="5"/>
      <c r="K2" s="5" t="s">
        <v>179</v>
      </c>
      <c r="L2" s="5"/>
    </row>
    <row r="3" spans="1:14" x14ac:dyDescent="0.25">
      <c r="A3" s="7" t="s">
        <v>230</v>
      </c>
      <c r="B3" s="7" t="s">
        <v>196</v>
      </c>
      <c r="C3" s="1">
        <v>1</v>
      </c>
      <c r="D3" s="1">
        <v>1</v>
      </c>
      <c r="E3" s="6">
        <v>1</v>
      </c>
      <c r="F3" s="6">
        <v>0.4</v>
      </c>
      <c r="G3" s="9" t="str">
        <f>Materials!A$4 &amp; "*" &amp; 2 &amp;"; " &amp;Materials!A$7 &amp; "*1"&amp;"; " &amp;Materials!A$8 &amp; "*1"</f>
        <v>clean vegetables*2; bone*1; fur*1</v>
      </c>
      <c r="H3" s="9" t="str">
        <f>Materials!A24 &amp; "*1"</f>
        <v>-straw*1</v>
      </c>
      <c r="I3" s="6" t="s">
        <v>155</v>
      </c>
      <c r="J3" s="6"/>
      <c r="K3" s="6">
        <v>20</v>
      </c>
      <c r="L3" s="6"/>
      <c r="M3" s="6"/>
      <c r="N3" s="6"/>
    </row>
    <row r="4" spans="1:14" x14ac:dyDescent="0.25">
      <c r="A4" s="7" t="s">
        <v>231</v>
      </c>
      <c r="B4" s="7" t="s">
        <v>197</v>
      </c>
      <c r="C4" s="1">
        <v>1</v>
      </c>
      <c r="D4" s="1">
        <v>1</v>
      </c>
      <c r="E4" s="6">
        <v>1</v>
      </c>
      <c r="F4" s="6">
        <v>0.1</v>
      </c>
      <c r="G4" s="9" t="str">
        <f>Materials!A$4 &amp; "*" &amp; 1 &amp;"; " &amp;Materials!A$7 &amp; "*1"&amp;"; " &amp;Materials!A$22 &amp; "*10"</f>
        <v>clean vegetables*1; bone*1; -feather*10</v>
      </c>
      <c r="H4" s="9" t="str">
        <f>Materials!A19 &amp; "*1"</f>
        <v>grain*1</v>
      </c>
      <c r="I4" s="6" t="s">
        <v>155</v>
      </c>
      <c r="J4" s="9" t="str">
        <f>Materials!A26 &amp; "*1"</f>
        <v>-egg*1</v>
      </c>
      <c r="K4" s="6">
        <v>20</v>
      </c>
      <c r="L4" s="6"/>
      <c r="M4" s="6"/>
      <c r="N4" s="6"/>
    </row>
    <row r="5" spans="1:14" x14ac:dyDescent="0.25">
      <c r="A5" s="7" t="s">
        <v>232</v>
      </c>
      <c r="B5" s="7" t="s">
        <v>198</v>
      </c>
      <c r="C5" s="1">
        <v>1</v>
      </c>
      <c r="D5" s="1">
        <v>1</v>
      </c>
      <c r="E5" s="6">
        <v>2</v>
      </c>
      <c r="F5" s="6">
        <v>0.02</v>
      </c>
      <c r="G5" s="1" t="str">
        <f>Materials!A$4 &amp; "*" &amp; 10 &amp;"; " &amp;Materials!A$7 &amp; "*7"&amp;"; " &amp;Materials!A$8 &amp; "*10"</f>
        <v>clean vegetables*10; bone*7; fur*10</v>
      </c>
      <c r="H5" s="9" t="str">
        <f>Materials!A24 &amp; "*5"</f>
        <v>-straw*5</v>
      </c>
      <c r="I5" s="6" t="s">
        <v>154</v>
      </c>
      <c r="J5" s="9" t="str">
        <f>Materials!A27 &amp; "*1"</f>
        <v>-milk*1</v>
      </c>
      <c r="K5" s="6">
        <v>40</v>
      </c>
      <c r="L5" s="6"/>
      <c r="M5" s="6"/>
      <c r="N5" s="6"/>
    </row>
    <row r="6" spans="1:14" x14ac:dyDescent="0.25">
      <c r="A6" s="7" t="s">
        <v>233</v>
      </c>
      <c r="B6" s="7" t="s">
        <v>199</v>
      </c>
      <c r="C6" s="1">
        <v>1</v>
      </c>
      <c r="D6" s="1">
        <v>1</v>
      </c>
      <c r="E6" s="6">
        <v>2</v>
      </c>
      <c r="F6" s="6">
        <v>0.02</v>
      </c>
      <c r="G6" s="1" t="str">
        <f>Materials!A$4 &amp; "*" &amp; 7 &amp;"; " &amp;Materials!A$7 &amp; "*10"&amp;"; " &amp;Materials!A$8 &amp; "*10"</f>
        <v>clean vegetables*7; bone*10; fur*10</v>
      </c>
      <c r="H6" s="9" t="str">
        <f>Materials!A24 &amp; "*5"</f>
        <v>-straw*5</v>
      </c>
      <c r="I6" s="6" t="s">
        <v>154</v>
      </c>
      <c r="J6" s="6"/>
      <c r="K6" s="6">
        <v>40</v>
      </c>
    </row>
    <row r="7" spans="1:14" x14ac:dyDescent="0.25">
      <c r="A7" s="7" t="s">
        <v>234</v>
      </c>
      <c r="B7" s="7" t="s">
        <v>204</v>
      </c>
      <c r="C7" s="9">
        <v>1</v>
      </c>
      <c r="D7" s="9">
        <v>1</v>
      </c>
      <c r="E7" s="6">
        <v>10</v>
      </c>
      <c r="F7" s="6">
        <v>0.05</v>
      </c>
      <c r="G7" s="9" t="str">
        <f>Materials!A$4 &amp; "*" &amp; 6 &amp;"; " &amp;Materials!A$7 &amp; "*4" &amp;"; " &amp;Materials!A$8 &amp; "*2" &amp;"; " &amp;Materials!A$28 &amp; "*10"</f>
        <v>clean vegetables*6; bone*4; fur*2; -wool*10</v>
      </c>
      <c r="H7" s="9" t="str">
        <f>Materials!A24 &amp; "*2"</f>
        <v>-straw*2</v>
      </c>
      <c r="I7" s="6" t="s">
        <v>154</v>
      </c>
      <c r="J7" s="7"/>
      <c r="K7" s="6">
        <v>20</v>
      </c>
      <c r="L7" s="6"/>
      <c r="M7" s="6"/>
      <c r="N7" s="6"/>
    </row>
  </sheetData>
  <dataValidations count="1">
    <dataValidation type="list" allowBlank="1" showInputMessage="1" showErrorMessage="1" sqref="I2:I7" xr:uid="{00000000-0002-0000-07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O2"/>
  <sheetViews>
    <sheetView zoomScaleNormal="100" workbookViewId="0">
      <selection activeCell="A3" sqref="A3"/>
    </sheetView>
  </sheetViews>
  <sheetFormatPr defaultRowHeight="15" x14ac:dyDescent="0.25"/>
  <cols>
    <col min="1" max="1" width="14.7109375" customWidth="1"/>
    <col min="2" max="2" width="19.5703125" customWidth="1"/>
    <col min="3" max="3" width="16.5703125" customWidth="1"/>
    <col min="4" max="4" width="15.7109375" customWidth="1"/>
    <col min="5" max="5" width="25.28515625" customWidth="1"/>
    <col min="6" max="6" width="18.140625" customWidth="1"/>
    <col min="7" max="7" width="23.42578125" customWidth="1"/>
    <col min="8" max="8" width="16.85546875" customWidth="1"/>
    <col min="9" max="9" width="16.7109375" customWidth="1"/>
    <col min="10" max="10" width="21.140625" customWidth="1"/>
    <col min="11" max="11" width="22.42578125" customWidth="1"/>
    <col min="12" max="12" width="16.5703125" customWidth="1"/>
    <col min="13" max="13" width="20.5703125" customWidth="1"/>
  </cols>
  <sheetData>
    <row r="1" spans="1:15" x14ac:dyDescent="0.25">
      <c r="A1" t="s">
        <v>184</v>
      </c>
      <c r="B1" t="s">
        <v>185</v>
      </c>
      <c r="C1" t="s">
        <v>186</v>
      </c>
      <c r="D1" t="s">
        <v>187</v>
      </c>
      <c r="E1" t="s">
        <v>205</v>
      </c>
      <c r="F1" t="s">
        <v>206</v>
      </c>
      <c r="G1" t="s">
        <v>207</v>
      </c>
      <c r="H1" t="s">
        <v>208</v>
      </c>
      <c r="I1" t="s">
        <v>209</v>
      </c>
      <c r="J1" t="s">
        <v>210</v>
      </c>
      <c r="K1" t="s">
        <v>211</v>
      </c>
      <c r="L1" t="s">
        <v>212</v>
      </c>
      <c r="M1" t="s">
        <v>213</v>
      </c>
    </row>
    <row r="2" spans="1:15" x14ac:dyDescent="0.25">
      <c r="A2" s="7" t="s">
        <v>235</v>
      </c>
      <c r="B2" s="7" t="s">
        <v>214</v>
      </c>
      <c r="C2" s="9">
        <v>1</v>
      </c>
      <c r="D2" s="9">
        <v>1</v>
      </c>
      <c r="E2" s="9">
        <f>O2</f>
        <v>2</v>
      </c>
      <c r="F2" s="9" t="str">
        <f>Materials!A25 &amp; "*2"</f>
        <v>-straw rope*2</v>
      </c>
      <c r="G2" s="6">
        <f>2*Materials!H25</f>
        <v>7</v>
      </c>
      <c r="H2" s="10">
        <f>(1+G2 )/O2</f>
        <v>4</v>
      </c>
      <c r="I2" s="6">
        <v>1</v>
      </c>
      <c r="J2" s="5" t="s">
        <v>40</v>
      </c>
      <c r="K2" s="1" t="str">
        <f>Effects!A$6</f>
        <v>sewing</v>
      </c>
      <c r="L2" s="1" t="str">
        <f>Effects!A31</f>
        <v>small_animal</v>
      </c>
      <c r="M2" s="5" t="s">
        <v>215</v>
      </c>
      <c r="O2">
        <v>2</v>
      </c>
    </row>
  </sheetData>
  <dataValidations count="1">
    <dataValidation type="list" allowBlank="1" showInputMessage="1" showErrorMessage="1" sqref="J2" xr:uid="{00000000-0002-0000-08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31"/>
  <sheetViews>
    <sheetView topLeftCell="A10" workbookViewId="0">
      <selection activeCell="A31" sqref="A31"/>
    </sheetView>
  </sheetViews>
  <sheetFormatPr defaultRowHeight="15" x14ac:dyDescent="0.25"/>
  <cols>
    <col min="1" max="1" width="19.28515625" customWidth="1"/>
    <col min="2" max="2" width="13.5703125" customWidth="1"/>
  </cols>
  <sheetData>
    <row r="1" spans="1:6" x14ac:dyDescent="0.25">
      <c r="A1" t="s">
        <v>83</v>
      </c>
      <c r="B1" t="s">
        <v>141</v>
      </c>
      <c r="D1" t="s">
        <v>140</v>
      </c>
      <c r="F1" t="s">
        <v>142</v>
      </c>
    </row>
    <row r="2" spans="1:6" x14ac:dyDescent="0.25">
      <c r="A2" s="5" t="s">
        <v>84</v>
      </c>
      <c r="B2" s="5" t="str">
        <f>F$2</f>
        <v>speed</v>
      </c>
      <c r="F2" t="s">
        <v>144</v>
      </c>
    </row>
    <row r="3" spans="1:6" x14ac:dyDescent="0.25">
      <c r="A3" s="5" t="s">
        <v>69</v>
      </c>
      <c r="B3" s="5" t="str">
        <f t="shared" ref="B3:B24" si="0">F$2</f>
        <v>speed</v>
      </c>
      <c r="F3" t="s">
        <v>145</v>
      </c>
    </row>
    <row r="4" spans="1:6" x14ac:dyDescent="0.25">
      <c r="A4" s="5" t="s">
        <v>81</v>
      </c>
      <c r="B4" s="5" t="str">
        <f t="shared" si="0"/>
        <v>speed</v>
      </c>
      <c r="F4" t="s">
        <v>146</v>
      </c>
    </row>
    <row r="5" spans="1:6" x14ac:dyDescent="0.25">
      <c r="A5" s="5" t="s">
        <v>70</v>
      </c>
      <c r="B5" s="5" t="str">
        <f t="shared" si="0"/>
        <v>speed</v>
      </c>
    </row>
    <row r="6" spans="1:6" x14ac:dyDescent="0.25">
      <c r="A6" s="5" t="s">
        <v>61</v>
      </c>
      <c r="B6" s="5" t="str">
        <f t="shared" si="0"/>
        <v>speed</v>
      </c>
    </row>
    <row r="7" spans="1:6" x14ac:dyDescent="0.25">
      <c r="A7" s="5" t="s">
        <v>62</v>
      </c>
      <c r="B7" s="5" t="str">
        <f t="shared" si="0"/>
        <v>speed</v>
      </c>
    </row>
    <row r="8" spans="1:6" x14ac:dyDescent="0.25">
      <c r="A8" s="5" t="s">
        <v>67</v>
      </c>
      <c r="B8" s="5" t="str">
        <f t="shared" si="0"/>
        <v>speed</v>
      </c>
    </row>
    <row r="9" spans="1:6" x14ac:dyDescent="0.25">
      <c r="A9" s="5" t="s">
        <v>85</v>
      </c>
      <c r="B9" s="5" t="str">
        <f t="shared" si="0"/>
        <v>speed</v>
      </c>
    </row>
    <row r="10" spans="1:6" x14ac:dyDescent="0.25">
      <c r="A10" s="5" t="s">
        <v>68</v>
      </c>
      <c r="B10" s="5" t="str">
        <f t="shared" si="0"/>
        <v>speed</v>
      </c>
    </row>
    <row r="11" spans="1:6" x14ac:dyDescent="0.25">
      <c r="A11" s="5" t="s">
        <v>43</v>
      </c>
      <c r="B11" s="5" t="str">
        <f t="shared" si="0"/>
        <v>speed</v>
      </c>
    </row>
    <row r="12" spans="1:6" x14ac:dyDescent="0.25">
      <c r="A12" s="5" t="s">
        <v>44</v>
      </c>
      <c r="B12" s="5" t="str">
        <f t="shared" si="0"/>
        <v>speed</v>
      </c>
    </row>
    <row r="13" spans="1:6" x14ac:dyDescent="0.25">
      <c r="A13" s="5" t="s">
        <v>156</v>
      </c>
      <c r="B13" s="5" t="str">
        <f t="shared" si="0"/>
        <v>speed</v>
      </c>
    </row>
    <row r="14" spans="1:6" x14ac:dyDescent="0.25">
      <c r="A14" s="5" t="s">
        <v>86</v>
      </c>
      <c r="B14" s="5" t="str">
        <f t="shared" si="0"/>
        <v>speed</v>
      </c>
    </row>
    <row r="15" spans="1:6" x14ac:dyDescent="0.25">
      <c r="A15" s="5" t="s">
        <v>48</v>
      </c>
      <c r="B15" s="5" t="str">
        <f t="shared" si="0"/>
        <v>speed</v>
      </c>
    </row>
    <row r="16" spans="1:6" x14ac:dyDescent="0.25">
      <c r="A16" s="5" t="s">
        <v>60</v>
      </c>
      <c r="B16" s="5" t="str">
        <f t="shared" si="0"/>
        <v>speed</v>
      </c>
    </row>
    <row r="17" spans="1:2" x14ac:dyDescent="0.25">
      <c r="A17" s="5" t="s">
        <v>183</v>
      </c>
      <c r="B17" s="5" t="str">
        <f t="shared" ref="B17" si="1">F$2</f>
        <v>speed</v>
      </c>
    </row>
    <row r="18" spans="1:2" x14ac:dyDescent="0.25">
      <c r="A18" s="5" t="s">
        <v>92</v>
      </c>
      <c r="B18" s="5" t="str">
        <f t="shared" si="0"/>
        <v>speed</v>
      </c>
    </row>
    <row r="19" spans="1:2" x14ac:dyDescent="0.25">
      <c r="A19" s="5" t="s">
        <v>95</v>
      </c>
      <c r="B19" s="5" t="str">
        <f t="shared" si="0"/>
        <v>speed</v>
      </c>
    </row>
    <row r="20" spans="1:2" x14ac:dyDescent="0.25">
      <c r="A20" s="5" t="s">
        <v>105</v>
      </c>
      <c r="B20" s="5" t="str">
        <f t="shared" si="0"/>
        <v>speed</v>
      </c>
    </row>
    <row r="21" spans="1:2" x14ac:dyDescent="0.25">
      <c r="A21" s="5" t="s">
        <v>117</v>
      </c>
      <c r="B21" s="5" t="str">
        <f t="shared" si="0"/>
        <v>speed</v>
      </c>
    </row>
    <row r="22" spans="1:2" x14ac:dyDescent="0.25">
      <c r="A22" s="5" t="s">
        <v>127</v>
      </c>
      <c r="B22" s="5" t="str">
        <f t="shared" si="0"/>
        <v>speed</v>
      </c>
    </row>
    <row r="23" spans="1:2" x14ac:dyDescent="0.25">
      <c r="A23" s="5" t="s">
        <v>129</v>
      </c>
      <c r="B23" s="5" t="str">
        <f t="shared" si="0"/>
        <v>speed</v>
      </c>
    </row>
    <row r="24" spans="1:2" x14ac:dyDescent="0.25">
      <c r="A24" s="5" t="s">
        <v>148</v>
      </c>
      <c r="B24" s="5" t="str">
        <f t="shared" si="0"/>
        <v>speed</v>
      </c>
    </row>
    <row r="25" spans="1:2" x14ac:dyDescent="0.25">
      <c r="A25" s="5" t="s">
        <v>143</v>
      </c>
      <c r="B25" s="5" t="str">
        <f>F3</f>
        <v>result</v>
      </c>
    </row>
    <row r="26" spans="1:2" x14ac:dyDescent="0.25">
      <c r="A26" t="s">
        <v>58</v>
      </c>
      <c r="B26" t="str">
        <f t="shared" ref="B26:B31" si="2">F$4</f>
        <v>storage</v>
      </c>
    </row>
    <row r="27" spans="1:2" x14ac:dyDescent="0.25">
      <c r="A27" t="s">
        <v>87</v>
      </c>
      <c r="B27" t="str">
        <f t="shared" si="2"/>
        <v>storage</v>
      </c>
    </row>
    <row r="28" spans="1:2" x14ac:dyDescent="0.25">
      <c r="A28" t="s">
        <v>77</v>
      </c>
      <c r="B28" t="str">
        <f t="shared" si="2"/>
        <v>storage</v>
      </c>
    </row>
    <row r="29" spans="1:2" x14ac:dyDescent="0.25">
      <c r="A29" t="s">
        <v>40</v>
      </c>
      <c r="B29" t="str">
        <f t="shared" si="2"/>
        <v>storage</v>
      </c>
    </row>
    <row r="30" spans="1:2" x14ac:dyDescent="0.25">
      <c r="A30" t="s">
        <v>154</v>
      </c>
      <c r="B30" t="str">
        <f t="shared" si="2"/>
        <v>storage</v>
      </c>
    </row>
    <row r="31" spans="1:2" x14ac:dyDescent="0.25">
      <c r="A31" s="6" t="s">
        <v>155</v>
      </c>
      <c r="B31" s="6" t="str">
        <f t="shared" si="2"/>
        <v>storage</v>
      </c>
    </row>
  </sheetData>
  <dataValidations count="1">
    <dataValidation type="list" allowBlank="1" showInputMessage="1" showErrorMessage="1" sqref="B2:B31" xr:uid="{00000000-0002-0000-0900-000000000000}">
      <formula1>effectTypes</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I11"/>
  <sheetViews>
    <sheetView workbookViewId="0">
      <selection activeCell="A2" sqref="A2"/>
    </sheetView>
  </sheetViews>
  <sheetFormatPr defaultRowHeight="15" x14ac:dyDescent="0.25"/>
  <sheetData>
    <row r="1" spans="1:9" x14ac:dyDescent="0.25">
      <c r="A1" t="s">
        <v>114</v>
      </c>
      <c r="B1" t="s">
        <v>115</v>
      </c>
      <c r="H1">
        <f>7</f>
        <v>7</v>
      </c>
      <c r="I1">
        <f>-7+13.5</f>
        <v>6.5</v>
      </c>
    </row>
    <row r="2" spans="1:9" x14ac:dyDescent="0.25">
      <c r="A2">
        <f>A3-H1</f>
        <v>-28.8</v>
      </c>
      <c r="B2">
        <f>B3-I1</f>
        <v>-26.5</v>
      </c>
    </row>
    <row r="3" spans="1:9" x14ac:dyDescent="0.25">
      <c r="A3">
        <f>A4-H1</f>
        <v>-21.8</v>
      </c>
      <c r="B3">
        <f>B4-I1</f>
        <v>-20</v>
      </c>
    </row>
    <row r="4" spans="1:9" x14ac:dyDescent="0.25">
      <c r="A4">
        <v>-14.8</v>
      </c>
      <c r="B4">
        <v>-13.5</v>
      </c>
    </row>
    <row r="5" spans="1:9" x14ac:dyDescent="0.25">
      <c r="A5">
        <f t="shared" ref="A5:B11" si="0">A4+H$1</f>
        <v>-7.8000000000000007</v>
      </c>
      <c r="B5">
        <f t="shared" si="0"/>
        <v>-7</v>
      </c>
    </row>
    <row r="6" spans="1:9" x14ac:dyDescent="0.25">
      <c r="A6">
        <f t="shared" si="0"/>
        <v>-0.80000000000000071</v>
      </c>
      <c r="B6">
        <f t="shared" si="0"/>
        <v>-0.5</v>
      </c>
    </row>
    <row r="7" spans="1:9" x14ac:dyDescent="0.25">
      <c r="A7">
        <f t="shared" si="0"/>
        <v>6.1999999999999993</v>
      </c>
      <c r="B7">
        <f t="shared" si="0"/>
        <v>6</v>
      </c>
    </row>
    <row r="8" spans="1:9" x14ac:dyDescent="0.25">
      <c r="A8">
        <f t="shared" si="0"/>
        <v>13.2</v>
      </c>
      <c r="B8">
        <f t="shared" si="0"/>
        <v>12.5</v>
      </c>
    </row>
    <row r="9" spans="1:9" x14ac:dyDescent="0.25">
      <c r="A9">
        <f t="shared" si="0"/>
        <v>20.2</v>
      </c>
      <c r="B9">
        <f t="shared" si="0"/>
        <v>19</v>
      </c>
    </row>
    <row r="10" spans="1:9" x14ac:dyDescent="0.25">
      <c r="A10">
        <f t="shared" si="0"/>
        <v>27.2</v>
      </c>
      <c r="B10">
        <f t="shared" si="0"/>
        <v>25.5</v>
      </c>
    </row>
    <row r="11" spans="1:9" x14ac:dyDescent="0.25">
      <c r="A11">
        <f t="shared" si="0"/>
        <v>34.200000000000003</v>
      </c>
      <c r="B11">
        <f t="shared" si="0"/>
        <v>32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P3"/>
  <sheetViews>
    <sheetView workbookViewId="0">
      <selection activeCell="B5" sqref="B5"/>
    </sheetView>
  </sheetViews>
  <sheetFormatPr defaultRowHeight="15" x14ac:dyDescent="0.25"/>
  <cols>
    <col min="1" max="1" width="9.7109375" bestFit="1" customWidth="1"/>
    <col min="2" max="2" width="9.7109375" customWidth="1"/>
    <col min="3" max="3" width="11" customWidth="1"/>
    <col min="4" max="4" width="11.42578125" customWidth="1"/>
    <col min="5" max="5" width="17.140625" customWidth="1"/>
    <col min="6" max="6" width="20.140625" customWidth="1"/>
    <col min="7" max="7" width="17" customWidth="1"/>
    <col min="8" max="8" width="11.85546875" customWidth="1"/>
    <col min="9" max="9" width="9.5703125" bestFit="1" customWidth="1"/>
    <col min="10" max="10" width="16.5703125" customWidth="1"/>
    <col min="11" max="11" width="18.140625" bestFit="1" customWidth="1"/>
    <col min="12" max="12" width="8.5703125" bestFit="1" customWidth="1"/>
    <col min="13" max="13" width="12.42578125" customWidth="1"/>
    <col min="14" max="14" width="6.5703125" bestFit="1" customWidth="1"/>
    <col min="15" max="15" width="10.5703125" customWidth="1"/>
    <col min="16" max="16" width="18.7109375" customWidth="1"/>
  </cols>
  <sheetData>
    <row r="1" spans="1:16" x14ac:dyDescent="0.25">
      <c r="A1" t="s">
        <v>0</v>
      </c>
      <c r="B1" t="s">
        <v>98</v>
      </c>
      <c r="C1" t="s">
        <v>96</v>
      </c>
      <c r="D1" t="s">
        <v>97</v>
      </c>
      <c r="E1" t="s">
        <v>71</v>
      </c>
      <c r="F1" t="s">
        <v>1</v>
      </c>
      <c r="G1" t="s">
        <v>2</v>
      </c>
      <c r="H1" t="s">
        <v>3</v>
      </c>
      <c r="I1" t="s">
        <v>63</v>
      </c>
      <c r="J1" t="s">
        <v>76</v>
      </c>
      <c r="K1" t="s">
        <v>64</v>
      </c>
      <c r="L1" t="s">
        <v>43</v>
      </c>
      <c r="M1" t="s">
        <v>44</v>
      </c>
      <c r="N1" t="s">
        <v>45</v>
      </c>
      <c r="O1" t="s">
        <v>46</v>
      </c>
      <c r="P1" t="s">
        <v>47</v>
      </c>
    </row>
    <row r="2" spans="1:16" ht="34.5" customHeight="1" x14ac:dyDescent="0.25">
      <c r="A2" s="5" t="s">
        <v>176</v>
      </c>
      <c r="B2" s="5" t="s">
        <v>176</v>
      </c>
      <c r="C2" s="1">
        <v>1</v>
      </c>
      <c r="D2" s="1">
        <v>1</v>
      </c>
      <c r="E2" s="1">
        <f>0.5</f>
        <v>0.5</v>
      </c>
      <c r="F2" s="3" t="str">
        <f>Items!A6 &amp; "; " &amp; Items!A7 &amp; "; " &amp; Items!A16</f>
        <v>stone spear; rod shield; bone armor</v>
      </c>
      <c r="G2">
        <f>1*Items!H6+1*Items!H7 + Items!H16</f>
        <v>38</v>
      </c>
      <c r="H2">
        <f>(1+G2 )/E2</f>
        <v>78</v>
      </c>
      <c r="I2">
        <v>1</v>
      </c>
      <c r="J2" s="5" t="str">
        <f>Effects!A$26</f>
        <v>living</v>
      </c>
      <c r="K2" s="5" t="s">
        <v>65</v>
      </c>
      <c r="L2">
        <v>15</v>
      </c>
      <c r="M2">
        <v>5</v>
      </c>
      <c r="N2">
        <v>40</v>
      </c>
      <c r="O2">
        <v>1</v>
      </c>
      <c r="P2">
        <v>3</v>
      </c>
    </row>
    <row r="3" spans="1:16" ht="37.5" customHeight="1" x14ac:dyDescent="0.25">
      <c r="A3" s="5" t="s">
        <v>177</v>
      </c>
      <c r="B3" s="5" t="s">
        <v>177</v>
      </c>
      <c r="C3" s="1">
        <v>1</v>
      </c>
      <c r="D3" s="1">
        <v>1</v>
      </c>
      <c r="E3" s="1">
        <f>0.5</f>
        <v>0.5</v>
      </c>
      <c r="F3" s="3" t="str">
        <f>Items!A7 &amp; "; " &amp; Items!A10 &amp; "; " &amp; Items!A17</f>
        <v>rod shield; leather shirt; bow</v>
      </c>
      <c r="G3">
        <f>Items!H17</f>
        <v>70</v>
      </c>
      <c r="H3">
        <f>(1+G3 )/E3</f>
        <v>142</v>
      </c>
      <c r="I3">
        <v>1</v>
      </c>
      <c r="J3" s="5" t="str">
        <f>Effects!A$26</f>
        <v>living</v>
      </c>
      <c r="K3" s="5" t="s">
        <v>65</v>
      </c>
      <c r="L3">
        <v>10</v>
      </c>
      <c r="M3">
        <v>0</v>
      </c>
      <c r="N3">
        <v>30</v>
      </c>
      <c r="O3">
        <v>15</v>
      </c>
      <c r="P3">
        <v>3</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I6"/>
  <sheetViews>
    <sheetView workbookViewId="0">
      <selection activeCell="A5" sqref="A5"/>
    </sheetView>
  </sheetViews>
  <sheetFormatPr defaultRowHeight="15" x14ac:dyDescent="0.25"/>
  <cols>
    <col min="1" max="1" width="13" customWidth="1"/>
    <col min="2" max="2" width="12.28515625" customWidth="1"/>
    <col min="3" max="3" width="13.42578125" customWidth="1"/>
    <col min="4" max="4" width="13.5703125" customWidth="1"/>
    <col min="5" max="5" width="13.28515625" customWidth="1"/>
    <col min="6" max="6" width="16.7109375" customWidth="1"/>
    <col min="7" max="7" width="20.7109375" customWidth="1"/>
    <col min="8" max="8" width="26.140625" customWidth="1"/>
    <col min="9" max="9" width="21.42578125" customWidth="1"/>
    <col min="11" max="11" width="29.5703125" customWidth="1"/>
    <col min="12" max="12" width="16.85546875" customWidth="1"/>
  </cols>
  <sheetData>
    <row r="1" spans="1:9" x14ac:dyDescent="0.25">
      <c r="A1" t="s">
        <v>52</v>
      </c>
      <c r="B1" t="s">
        <v>56</v>
      </c>
      <c r="C1" t="s">
        <v>53</v>
      </c>
      <c r="D1" t="s">
        <v>54</v>
      </c>
      <c r="E1" t="s">
        <v>55</v>
      </c>
    </row>
    <row r="2" spans="1:9" x14ac:dyDescent="0.25">
      <c r="A2" s="5" t="str">
        <f>Items!A9</f>
        <v>basket drum</v>
      </c>
      <c r="B2">
        <v>1</v>
      </c>
      <c r="C2">
        <v>10</v>
      </c>
      <c r="D2">
        <v>10</v>
      </c>
      <c r="E2">
        <f>C2*D2</f>
        <v>100</v>
      </c>
    </row>
    <row r="3" spans="1:9" x14ac:dyDescent="0.25">
      <c r="A3" s="5" t="str">
        <f>Items!A11</f>
        <v>leather shoe</v>
      </c>
      <c r="B3">
        <v>2</v>
      </c>
      <c r="C3">
        <v>11</v>
      </c>
      <c r="D3">
        <v>10</v>
      </c>
      <c r="E3">
        <f>C3*D3</f>
        <v>110</v>
      </c>
    </row>
    <row r="4" spans="1:9" x14ac:dyDescent="0.25">
      <c r="A4" s="5" t="str">
        <f>Items!A12</f>
        <v>leather pants</v>
      </c>
      <c r="B4">
        <v>3</v>
      </c>
      <c r="C4">
        <v>12</v>
      </c>
      <c r="D4">
        <v>10</v>
      </c>
      <c r="E4">
        <f>C4*D4</f>
        <v>120</v>
      </c>
    </row>
    <row r="5" spans="1:9" x14ac:dyDescent="0.25">
      <c r="A5" s="7" t="e">
        <f>Items!#REF!</f>
        <v>#REF!</v>
      </c>
      <c r="B5" s="6">
        <v>4</v>
      </c>
      <c r="C5" s="6">
        <v>11</v>
      </c>
      <c r="D5" s="6">
        <v>10</v>
      </c>
    </row>
    <row r="6" spans="1:9" ht="104.25" customHeight="1" x14ac:dyDescent="0.25">
      <c r="F6" s="4" t="s">
        <v>38</v>
      </c>
      <c r="G6" s="4" t="s">
        <v>124</v>
      </c>
      <c r="H6" s="4" t="s">
        <v>36</v>
      </c>
      <c r="I6" s="4" t="s">
        <v>37</v>
      </c>
    </row>
  </sheetData>
  <dataConsolidate/>
  <pageMargins left="0.7" right="0.7" top="0.75" bottom="0.75" header="0.3" footer="0.3"/>
  <pageSetup paperSize="9" orientation="portrait" horizontalDpi="300" verticalDpi="30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22"/>
  <sheetViews>
    <sheetView workbookViewId="0">
      <selection activeCell="G22" sqref="G22"/>
    </sheetView>
  </sheetViews>
  <sheetFormatPr defaultRowHeight="15" x14ac:dyDescent="0.25"/>
  <sheetData>
    <row r="1" spans="1:10" x14ac:dyDescent="0.25">
      <c r="A1">
        <v>13</v>
      </c>
      <c r="B1">
        <v>24</v>
      </c>
      <c r="C1">
        <v>118</v>
      </c>
      <c r="D1">
        <v>243</v>
      </c>
      <c r="E1">
        <v>418</v>
      </c>
      <c r="F1">
        <v>643</v>
      </c>
    </row>
    <row r="2" spans="1:10" x14ac:dyDescent="0.25">
      <c r="A2">
        <v>1</v>
      </c>
      <c r="B2">
        <v>5</v>
      </c>
      <c r="C2">
        <v>10</v>
      </c>
      <c r="D2">
        <v>15</v>
      </c>
      <c r="E2">
        <v>20</v>
      </c>
      <c r="F2">
        <v>25</v>
      </c>
    </row>
    <row r="3" spans="1:10" x14ac:dyDescent="0.25">
      <c r="A3">
        <f t="shared" ref="A3:F3" si="0">10 + SQRT(A1*A2*A2)</f>
        <v>13.60555127546399</v>
      </c>
      <c r="B3">
        <f t="shared" si="0"/>
        <v>34.494897427831781</v>
      </c>
      <c r="C3">
        <f t="shared" si="0"/>
        <v>118.62780491200216</v>
      </c>
      <c r="D3">
        <f t="shared" si="0"/>
        <v>243.82685902179844</v>
      </c>
      <c r="E3">
        <f t="shared" si="0"/>
        <v>418.90096600521747</v>
      </c>
      <c r="F3">
        <f t="shared" si="0"/>
        <v>643.93611665529829</v>
      </c>
    </row>
    <row r="4" spans="1:10" x14ac:dyDescent="0.25">
      <c r="B4">
        <f>B3/A3</f>
        <v>2.5353546305793038</v>
      </c>
      <c r="C4">
        <f>C3/B3</f>
        <v>3.4389957285766211</v>
      </c>
      <c r="D4">
        <f>D3/C3</f>
        <v>2.055393836231469</v>
      </c>
      <c r="E4">
        <f>E3/D3</f>
        <v>1.7180263392055883</v>
      </c>
      <c r="F4">
        <f>F3/E3</f>
        <v>1.5372037042456426</v>
      </c>
    </row>
    <row r="5" spans="1:10" x14ac:dyDescent="0.25">
      <c r="A5">
        <v>0.1</v>
      </c>
      <c r="B5">
        <f>0.1+A5</f>
        <v>0.2</v>
      </c>
      <c r="C5">
        <f t="shared" ref="C5:J5" si="1">0.1+B5</f>
        <v>0.30000000000000004</v>
      </c>
      <c r="D5">
        <f t="shared" si="1"/>
        <v>0.4</v>
      </c>
      <c r="E5">
        <f t="shared" si="1"/>
        <v>0.5</v>
      </c>
      <c r="F5">
        <f t="shared" si="1"/>
        <v>0.6</v>
      </c>
      <c r="G5">
        <f t="shared" si="1"/>
        <v>0.7</v>
      </c>
      <c r="H5">
        <f t="shared" si="1"/>
        <v>0.79999999999999993</v>
      </c>
      <c r="I5">
        <f t="shared" si="1"/>
        <v>0.89999999999999991</v>
      </c>
      <c r="J5">
        <f t="shared" si="1"/>
        <v>0.99999999999999989</v>
      </c>
    </row>
    <row r="6" spans="1:10" x14ac:dyDescent="0.25">
      <c r="A6">
        <f>0.1+A5</f>
        <v>0.2</v>
      </c>
      <c r="B6">
        <f>$A6*B$5</f>
        <v>4.0000000000000008E-2</v>
      </c>
      <c r="C6">
        <f t="shared" ref="C6:J14" si="2">$A6*C$5</f>
        <v>6.0000000000000012E-2</v>
      </c>
      <c r="D6">
        <f t="shared" si="2"/>
        <v>8.0000000000000016E-2</v>
      </c>
      <c r="E6">
        <f t="shared" si="2"/>
        <v>0.1</v>
      </c>
      <c r="F6">
        <f t="shared" si="2"/>
        <v>0.12</v>
      </c>
      <c r="G6">
        <f t="shared" si="2"/>
        <v>0.13999999999999999</v>
      </c>
      <c r="H6">
        <f t="shared" si="2"/>
        <v>0.16</v>
      </c>
      <c r="I6">
        <f t="shared" si="2"/>
        <v>0.18</v>
      </c>
      <c r="J6">
        <f t="shared" si="2"/>
        <v>0.19999999999999998</v>
      </c>
    </row>
    <row r="7" spans="1:10" x14ac:dyDescent="0.25">
      <c r="A7">
        <f t="shared" ref="A7:A14" si="3">0.1+$A6</f>
        <v>0.30000000000000004</v>
      </c>
      <c r="B7">
        <f t="shared" ref="B7:B14" si="4">$A7*B$5</f>
        <v>6.0000000000000012E-2</v>
      </c>
      <c r="C7">
        <f t="shared" si="2"/>
        <v>9.0000000000000024E-2</v>
      </c>
      <c r="D7">
        <f t="shared" si="2"/>
        <v>0.12000000000000002</v>
      </c>
      <c r="E7">
        <f t="shared" si="2"/>
        <v>0.15000000000000002</v>
      </c>
      <c r="F7">
        <f t="shared" si="2"/>
        <v>0.18000000000000002</v>
      </c>
      <c r="G7">
        <f t="shared" si="2"/>
        <v>0.21000000000000002</v>
      </c>
      <c r="H7">
        <f t="shared" si="2"/>
        <v>0.24000000000000002</v>
      </c>
      <c r="I7">
        <f t="shared" si="2"/>
        <v>0.27</v>
      </c>
      <c r="J7">
        <f t="shared" si="2"/>
        <v>0.3</v>
      </c>
    </row>
    <row r="8" spans="1:10" x14ac:dyDescent="0.25">
      <c r="A8">
        <f t="shared" si="3"/>
        <v>0.4</v>
      </c>
      <c r="B8">
        <f t="shared" si="4"/>
        <v>8.0000000000000016E-2</v>
      </c>
      <c r="C8">
        <f t="shared" si="2"/>
        <v>0.12000000000000002</v>
      </c>
      <c r="D8">
        <f t="shared" si="2"/>
        <v>0.16000000000000003</v>
      </c>
      <c r="E8">
        <f t="shared" si="2"/>
        <v>0.2</v>
      </c>
      <c r="F8">
        <f t="shared" si="2"/>
        <v>0.24</v>
      </c>
      <c r="G8">
        <f t="shared" si="2"/>
        <v>0.27999999999999997</v>
      </c>
      <c r="H8">
        <f t="shared" si="2"/>
        <v>0.32</v>
      </c>
      <c r="I8">
        <f t="shared" si="2"/>
        <v>0.36</v>
      </c>
      <c r="J8">
        <f t="shared" si="2"/>
        <v>0.39999999999999997</v>
      </c>
    </row>
    <row r="9" spans="1:10" x14ac:dyDescent="0.25">
      <c r="A9">
        <f t="shared" si="3"/>
        <v>0.5</v>
      </c>
      <c r="B9">
        <f t="shared" si="4"/>
        <v>0.1</v>
      </c>
      <c r="C9">
        <f t="shared" si="2"/>
        <v>0.15000000000000002</v>
      </c>
      <c r="D9">
        <f t="shared" si="2"/>
        <v>0.2</v>
      </c>
      <c r="E9">
        <f t="shared" si="2"/>
        <v>0.25</v>
      </c>
      <c r="F9">
        <f t="shared" si="2"/>
        <v>0.3</v>
      </c>
      <c r="G9">
        <f t="shared" si="2"/>
        <v>0.35</v>
      </c>
      <c r="H9">
        <f t="shared" si="2"/>
        <v>0.39999999999999997</v>
      </c>
      <c r="I9">
        <f t="shared" si="2"/>
        <v>0.44999999999999996</v>
      </c>
      <c r="J9">
        <f t="shared" si="2"/>
        <v>0.49999999999999994</v>
      </c>
    </row>
    <row r="10" spans="1:10" x14ac:dyDescent="0.25">
      <c r="A10">
        <f t="shared" si="3"/>
        <v>0.6</v>
      </c>
      <c r="B10">
        <f t="shared" si="4"/>
        <v>0.12</v>
      </c>
      <c r="C10">
        <f t="shared" si="2"/>
        <v>0.18000000000000002</v>
      </c>
      <c r="D10">
        <f t="shared" si="2"/>
        <v>0.24</v>
      </c>
      <c r="E10">
        <f t="shared" si="2"/>
        <v>0.3</v>
      </c>
      <c r="F10">
        <f t="shared" si="2"/>
        <v>0.36</v>
      </c>
      <c r="G10">
        <f t="shared" si="2"/>
        <v>0.42</v>
      </c>
      <c r="H10">
        <f t="shared" si="2"/>
        <v>0.47999999999999993</v>
      </c>
      <c r="I10">
        <f t="shared" si="2"/>
        <v>0.53999999999999992</v>
      </c>
      <c r="J10">
        <f t="shared" si="2"/>
        <v>0.59999999999999987</v>
      </c>
    </row>
    <row r="11" spans="1:10" x14ac:dyDescent="0.25">
      <c r="A11">
        <f t="shared" si="3"/>
        <v>0.7</v>
      </c>
      <c r="B11">
        <f t="shared" si="4"/>
        <v>0.13999999999999999</v>
      </c>
      <c r="C11">
        <f t="shared" si="2"/>
        <v>0.21000000000000002</v>
      </c>
      <c r="D11">
        <f t="shared" si="2"/>
        <v>0.27999999999999997</v>
      </c>
      <c r="E11">
        <f t="shared" si="2"/>
        <v>0.35</v>
      </c>
      <c r="F11">
        <f t="shared" si="2"/>
        <v>0.42</v>
      </c>
      <c r="G11">
        <f t="shared" si="2"/>
        <v>0.48999999999999994</v>
      </c>
      <c r="H11">
        <f t="shared" si="2"/>
        <v>0.55999999999999994</v>
      </c>
      <c r="I11">
        <f t="shared" si="2"/>
        <v>0.62999999999999989</v>
      </c>
      <c r="J11">
        <f t="shared" si="2"/>
        <v>0.69999999999999984</v>
      </c>
    </row>
    <row r="12" spans="1:10" x14ac:dyDescent="0.25">
      <c r="A12">
        <f t="shared" si="3"/>
        <v>0.79999999999999993</v>
      </c>
      <c r="B12">
        <f t="shared" si="4"/>
        <v>0.16</v>
      </c>
      <c r="C12">
        <f t="shared" si="2"/>
        <v>0.24000000000000002</v>
      </c>
      <c r="D12">
        <f t="shared" si="2"/>
        <v>0.32</v>
      </c>
      <c r="E12">
        <f t="shared" si="2"/>
        <v>0.39999999999999997</v>
      </c>
      <c r="F12">
        <f t="shared" si="2"/>
        <v>0.47999999999999993</v>
      </c>
      <c r="G12">
        <f t="shared" si="2"/>
        <v>0.55999999999999994</v>
      </c>
      <c r="H12">
        <f t="shared" si="2"/>
        <v>0.6399999999999999</v>
      </c>
      <c r="I12">
        <f t="shared" si="2"/>
        <v>0.71999999999999986</v>
      </c>
      <c r="J12">
        <f t="shared" si="2"/>
        <v>0.79999999999999982</v>
      </c>
    </row>
    <row r="13" spans="1:10" x14ac:dyDescent="0.25">
      <c r="A13">
        <f t="shared" si="3"/>
        <v>0.89999999999999991</v>
      </c>
      <c r="B13">
        <f t="shared" si="4"/>
        <v>0.18</v>
      </c>
      <c r="C13">
        <f t="shared" si="2"/>
        <v>0.27</v>
      </c>
      <c r="D13">
        <f t="shared" si="2"/>
        <v>0.36</v>
      </c>
      <c r="E13">
        <f t="shared" si="2"/>
        <v>0.44999999999999996</v>
      </c>
      <c r="F13">
        <f t="shared" si="2"/>
        <v>0.53999999999999992</v>
      </c>
      <c r="G13">
        <f t="shared" si="2"/>
        <v>0.62999999999999989</v>
      </c>
      <c r="H13">
        <f t="shared" si="2"/>
        <v>0.71999999999999986</v>
      </c>
      <c r="I13">
        <f t="shared" si="2"/>
        <v>0.80999999999999983</v>
      </c>
      <c r="J13">
        <f t="shared" si="2"/>
        <v>0.8999999999999998</v>
      </c>
    </row>
    <row r="14" spans="1:10" x14ac:dyDescent="0.25">
      <c r="A14">
        <f t="shared" si="3"/>
        <v>0.99999999999999989</v>
      </c>
      <c r="B14">
        <f t="shared" si="4"/>
        <v>0.19999999999999998</v>
      </c>
      <c r="C14">
        <f t="shared" si="2"/>
        <v>0.3</v>
      </c>
      <c r="D14">
        <f t="shared" si="2"/>
        <v>0.39999999999999997</v>
      </c>
      <c r="E14">
        <f t="shared" si="2"/>
        <v>0.49999999999999994</v>
      </c>
      <c r="F14">
        <f t="shared" si="2"/>
        <v>0.59999999999999987</v>
      </c>
      <c r="G14">
        <f t="shared" si="2"/>
        <v>0.69999999999999984</v>
      </c>
      <c r="H14">
        <f t="shared" si="2"/>
        <v>0.79999999999999982</v>
      </c>
      <c r="I14">
        <f t="shared" si="2"/>
        <v>0.8999999999999998</v>
      </c>
      <c r="J14">
        <f t="shared" si="2"/>
        <v>0.99999999999999978</v>
      </c>
    </row>
    <row r="20" spans="1:7" x14ac:dyDescent="0.25">
      <c r="A20">
        <f>80*18.9</f>
        <v>1512</v>
      </c>
    </row>
    <row r="21" spans="1:7" x14ac:dyDescent="0.25">
      <c r="A21">
        <f>104*20</f>
        <v>2080</v>
      </c>
    </row>
    <row r="22" spans="1:7" x14ac:dyDescent="0.25">
      <c r="A22">
        <f>A20+A21</f>
        <v>3592</v>
      </c>
      <c r="B22">
        <v>2872.8</v>
      </c>
      <c r="C22">
        <v>2872.8</v>
      </c>
      <c r="D22">
        <v>2268</v>
      </c>
      <c r="E22">
        <v>3024</v>
      </c>
      <c r="F22">
        <v>2116.8000000000002</v>
      </c>
      <c r="G22">
        <f>SUM(A22:F22)</f>
        <v>16746.400000000001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17>@ 2548B5  745AL  >?8A0=85  >17>@0 
</file>

<file path=customXml/item2.xml>�� 17>@ 2548B5  745AL  >?8A0=85  >17>@0 !;>9 
</file>

<file path=customXml/item3.xml>�� 
</file>

<file path=customXml/itemProps1.xml><?xml version="1.0" encoding="utf-8"?>
<ds:datastoreItem xmlns:ds="http://schemas.openxmlformats.org/officeDocument/2006/customXml" ds:itemID="{EC39D107-40E6-427F-855C-260BAE4494C8}">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8A4F1378-8EBD-4771-AB5E-5093742CB7CA}">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791419D1-E8C7-4697-B5B0-7F8684243F5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15</vt:i4>
      </vt:variant>
      <vt:variant>
        <vt:lpstr>Именованные диапазоны</vt:lpstr>
      </vt:variant>
      <vt:variant>
        <vt:i4>3</vt:i4>
      </vt:variant>
    </vt:vector>
  </HeadingPairs>
  <TitlesOfParts>
    <vt:vector size="18" baseType="lpstr">
      <vt:lpstr>Items</vt:lpstr>
      <vt:lpstr>Science</vt:lpstr>
      <vt:lpstr>Tips</vt:lpstr>
      <vt:lpstr>Building</vt:lpstr>
      <vt:lpstr>Resources</vt:lpstr>
      <vt:lpstr>Materials</vt:lpstr>
      <vt:lpstr>Processes</vt:lpstr>
      <vt:lpstr>WildAnimals</vt:lpstr>
      <vt:lpstr>DomesticAnimals</vt:lpstr>
      <vt:lpstr>Traps</vt:lpstr>
      <vt:lpstr>Effects</vt:lpstr>
      <vt:lpstr>Coordinats</vt:lpstr>
      <vt:lpstr>Army</vt:lpstr>
      <vt:lpstr>Celebrations</vt:lpstr>
      <vt:lpstr>Sheet1</vt:lpstr>
      <vt:lpstr>effects</vt:lpstr>
      <vt:lpstr>effectTypes</vt:lpstr>
      <vt:lpstr>storageTypes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Aspire2 Student</dc:creator>
  <cp:lastModifiedBy>Ckpyt</cp:lastModifiedBy>
  <dcterms:created xsi:type="dcterms:W3CDTF">2019-08-27T04:54:36Z</dcterms:created>
  <dcterms:modified xsi:type="dcterms:W3CDTF">2021-06-04T12:07:27Z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lution ID">
    <vt:lpwstr>{15727DE6-F92D-4E46-ACB4-0E2C58B31A18}</vt:lpwstr>
  </property>
</Properties>
</file>